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The Model (given)" sheetId="2" state="visible" r:id="rId2"/>
    <sheet name="T1 Hop Count" sheetId="3" state="visible" r:id="rId3"/>
    <sheet name="T2 Snowflake It" sheetId="4" state="visible" r:id="rId4"/>
    <sheet name="T3 Storage" sheetId="5" state="visible" r:id="rId5"/>
    <sheet name="T4 Relationships" sheetId="6" state="visible" r:id="rId6"/>
    <sheet name="T5 Cross-Filter" sheetId="7" state="visible" r:id="rId7"/>
    <sheet name="T6 When To Snowflake" sheetId="8" state="visible" r:id="rId8"/>
    <sheet name="T7 Reconcile" sheetId="9" state="visible" r:id="rId9"/>
  </sheets>
  <definedNames/>
  <calcPr calcId="124519" fullCalcOnLoad="1"/>
</workbook>
</file>

<file path=xl/styles.xml><?xml version="1.0" encoding="utf-8"?>
<styleSheet xmlns="http://schemas.openxmlformats.org/spreadsheetml/2006/main">
  <numFmts count="1">
    <numFmt numFmtId="164" formatCode="0.0000"/>
  </numFmts>
  <fonts count="14">
    <font>
      <name val="Calibri"/>
      <family val="2"/>
      <color theme="1"/>
      <sz val="11"/>
      <scheme val="minor"/>
    </font>
    <font>
      <name val="Calibri"/>
      <b val="1"/>
      <color rgb="00FFFFFF"/>
      <sz val="16"/>
    </font>
    <font>
      <name val="Calibri"/>
      <color rgb="00FFFFFF"/>
      <sz val="10"/>
    </font>
    <font>
      <name val="Calibri"/>
      <b val="1"/>
      <color rgb="00005A8C"/>
      <sz val="11"/>
    </font>
    <font>
      <name val="Calibri"/>
      <color rgb="0016202E"/>
      <sz val="10"/>
    </font>
    <font>
      <name val="Calibri"/>
      <b val="1"/>
      <color rgb="00FFFFFF"/>
      <sz val="10"/>
    </font>
    <font>
      <name val="Calibri"/>
      <b val="1"/>
      <color rgb="0016202E"/>
      <sz val="10"/>
    </font>
    <font>
      <name val="Calibri"/>
      <sz val="10"/>
    </font>
    <font>
      <name val="Calibri"/>
      <color rgb="005B6573"/>
      <sz val="9"/>
    </font>
    <font>
      <name val="Calibri"/>
      <color rgb="0016202E"/>
      <sz val="9.5"/>
    </font>
    <font>
      <name val="Calibri"/>
      <i val="1"/>
      <color rgb="007A4E00"/>
      <sz val="9"/>
    </font>
    <font>
      <name val="Calibri"/>
      <b val="1"/>
      <color rgb="0000704F"/>
      <sz val="10"/>
    </font>
    <font>
      <name val="Consolas"/>
      <sz val="9"/>
    </font>
    <font>
      <name val="Calibri"/>
      <b val="1"/>
      <color rgb="00922B21"/>
      <sz val="10"/>
    </font>
  </fonts>
  <fills count="11">
    <fill>
      <patternFill/>
    </fill>
    <fill>
      <patternFill patternType="gray125"/>
    </fill>
    <fill>
      <patternFill patternType="solid">
        <fgColor rgb="0016202E"/>
      </patternFill>
    </fill>
    <fill>
      <patternFill patternType="solid">
        <fgColor rgb="002C3A4F"/>
      </patternFill>
    </fill>
    <fill>
      <patternFill patternType="solid">
        <fgColor rgb="00EAF2F8"/>
      </patternFill>
    </fill>
    <fill>
      <patternFill patternType="solid">
        <fgColor rgb="00F4F7FA"/>
      </patternFill>
    </fill>
    <fill>
      <patternFill patternType="solid">
        <fgColor rgb="00005A8C"/>
      </patternFill>
    </fill>
    <fill>
      <patternFill patternType="solid">
        <fgColor rgb="00FFF3CD"/>
      </patternFill>
    </fill>
    <fill>
      <patternFill patternType="solid">
        <fgColor rgb="00E8F6EF"/>
      </patternFill>
    </fill>
    <fill>
      <patternFill patternType="solid">
        <fgColor rgb="00EDF1F5"/>
      </patternFill>
    </fill>
    <fill>
      <patternFill patternType="solid">
        <fgColor rgb="00FFF8DC"/>
      </patternFill>
    </fill>
  </fills>
  <borders count="11">
    <border>
      <left/>
      <right/>
      <top/>
      <bottom/>
      <diagonal/>
    </border>
    <border>
      <left style="thin">
        <color rgb="00C9D4E3"/>
      </left>
      <right style="thin">
        <color rgb="00C9D4E3"/>
      </right>
      <top style="thin">
        <color rgb="00C9D4E3"/>
      </top>
      <bottom style="thin">
        <color rgb="00C9D4E3"/>
      </bottom>
    </border>
    <border>
      <left/>
      <right/>
      <top style="thin">
        <color rgb="00C9D4E3"/>
      </top>
      <bottom/>
      <diagonal/>
    </border>
    <border>
      <left/>
      <right style="thin">
        <color rgb="00C9D4E3"/>
      </right>
      <top style="thin">
        <color rgb="00C9D4E3"/>
      </top>
      <bottom/>
      <diagonal/>
    </border>
    <border>
      <left/>
      <right/>
      <top style="thin">
        <color rgb="00C9D4E3"/>
      </top>
      <bottom style="thin">
        <color rgb="00C9D4E3"/>
      </bottom>
      <diagonal/>
    </border>
    <border>
      <left/>
      <right style="thin">
        <color rgb="00C9D4E3"/>
      </right>
      <top style="thin">
        <color rgb="00C9D4E3"/>
      </top>
      <bottom style="thin">
        <color rgb="00C9D4E3"/>
      </bottom>
      <diagonal/>
    </border>
    <border>
      <left style="thin">
        <color rgb="00C9D4E3"/>
      </left>
      <right/>
      <top/>
      <bottom/>
      <diagonal/>
    </border>
    <border>
      <left/>
      <right style="thin">
        <color rgb="00C9D4E3"/>
      </right>
      <top/>
      <bottom/>
      <diagonal/>
    </border>
    <border>
      <left style="thin">
        <color rgb="00C9D4E3"/>
      </left>
      <right/>
      <top/>
      <bottom style="thin">
        <color rgb="00C9D4E3"/>
      </bottom>
      <diagonal/>
    </border>
    <border>
      <left/>
      <right/>
      <top/>
      <bottom style="thin">
        <color rgb="00C9D4E3"/>
      </bottom>
      <diagonal/>
    </border>
    <border>
      <left/>
      <right style="thin">
        <color rgb="00C9D4E3"/>
      </right>
      <top/>
      <bottom style="thin">
        <color rgb="00C9D4E3"/>
      </bottom>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wrapText="1" indent="1"/>
    </xf>
    <xf numFmtId="0" fontId="3" fillId="4" borderId="0" applyAlignment="1" pivotButton="0" quotePrefix="0" xfId="0">
      <alignment vertical="center" wrapText="1" indent="1"/>
    </xf>
    <xf numFmtId="0" fontId="4" fillId="5" borderId="0" applyAlignment="1" pivotButton="0" quotePrefix="0" xfId="0">
      <alignment vertical="center" wrapText="1" indent="1"/>
    </xf>
    <xf numFmtId="0" fontId="5" fillId="6" borderId="1" applyAlignment="1" pivotButton="0" quotePrefix="0" xfId="0">
      <alignment horizontal="center" vertical="center" wrapText="1"/>
    </xf>
    <xf numFmtId="0" fontId="6" fillId="0" borderId="1" applyAlignment="1" pivotButton="0" quotePrefix="0" xfId="0">
      <alignment horizontal="center" vertical="center"/>
    </xf>
    <xf numFmtId="0" fontId="7" fillId="0" borderId="1" pivotButton="0" quotePrefix="0" xfId="0"/>
    <xf numFmtId="0" fontId="7" fillId="0" borderId="1" applyAlignment="1" pivotButton="0" quotePrefix="0" xfId="0">
      <alignment vertical="top" wrapText="1"/>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8" fillId="0" borderId="1" pivotButton="0" quotePrefix="0" xfId="0"/>
    <xf numFmtId="0" fontId="6" fillId="0" borderId="1" applyAlignment="1" pivotButton="0" quotePrefix="0" xfId="0">
      <alignment horizontal="right"/>
    </xf>
    <xf numFmtId="0" fontId="9" fillId="5" borderId="0" applyAlignment="1" pivotButton="0" quotePrefix="0" xfId="0">
      <alignment vertical="center" wrapText="1" indent="1"/>
    </xf>
    <xf numFmtId="0" fontId="10" fillId="7" borderId="0" applyAlignment="1" pivotButton="0" quotePrefix="0" xfId="0">
      <alignment vertical="center" wrapText="1" indent="1"/>
    </xf>
    <xf numFmtId="0" fontId="11" fillId="8" borderId="0" applyAlignment="1" pivotButton="0" quotePrefix="0" xfId="0">
      <alignment vertical="center" wrapText="1" indent="1"/>
    </xf>
    <xf numFmtId="0" fontId="12" fillId="9" borderId="1" applyAlignment="1" pivotButton="0" quotePrefix="0" xfId="0">
      <alignment horizontal="center" vertical="center"/>
    </xf>
    <xf numFmtId="0" fontId="7" fillId="9" borderId="1" applyAlignment="1" pivotButton="0" quotePrefix="0" xfId="0">
      <alignment vertical="top" wrapText="1"/>
    </xf>
    <xf numFmtId="0" fontId="7" fillId="9" borderId="1" applyAlignment="1" pivotButton="0" quotePrefix="0" xfId="0">
      <alignment horizontal="center" vertical="center"/>
    </xf>
    <xf numFmtId="0" fontId="6" fillId="9" borderId="1" pivotButton="0" quotePrefix="0" xfId="0"/>
    <xf numFmtId="0" fontId="7" fillId="9" borderId="1" pivotButton="0" quotePrefix="0" xfId="0"/>
    <xf numFmtId="0" fontId="12" fillId="9" borderId="1" pivotButton="0" quotePrefix="0" xfId="0"/>
    <xf numFmtId="0" fontId="8" fillId="9" borderId="1" applyAlignment="1" pivotButton="0" quotePrefix="0" xfId="0">
      <alignment vertical="top" wrapText="1"/>
    </xf>
    <xf numFmtId="0" fontId="6" fillId="8" borderId="1" pivotButton="0" quotePrefix="0" xfId="0"/>
    <xf numFmtId="3" fontId="11" fillId="8" borderId="1" applyAlignment="1" pivotButton="0" quotePrefix="0" xfId="0">
      <alignment horizontal="center" vertical="center"/>
    </xf>
    <xf numFmtId="0" fontId="8" fillId="8" borderId="1" pivotButton="0" quotePrefix="0" xfId="0"/>
    <xf numFmtId="0" fontId="12" fillId="10" borderId="1" applyAlignment="1" pivotButton="0" quotePrefix="0" xfId="0">
      <alignment vertical="top" wrapText="1"/>
    </xf>
    <xf numFmtId="0" fontId="7" fillId="10" borderId="1" applyAlignment="1" pivotButton="0" quotePrefix="0" xfId="0">
      <alignment horizontal="center" vertical="center"/>
    </xf>
    <xf numFmtId="0" fontId="8" fillId="10" borderId="1" applyAlignment="1" pivotButton="0" quotePrefix="0" xfId="0">
      <alignment vertical="top" wrapText="1"/>
    </xf>
    <xf numFmtId="0" fontId="6" fillId="9" borderId="1" applyAlignment="1" pivotButton="0" quotePrefix="0" xfId="0">
      <alignment horizontal="center" vertical="center"/>
    </xf>
    <xf numFmtId="0" fontId="7" fillId="10" borderId="1" applyAlignment="1" pivotButton="0" quotePrefix="0" xfId="0">
      <alignment vertical="top" wrapText="1"/>
    </xf>
    <xf numFmtId="0" fontId="8" fillId="0" borderId="1" applyAlignment="1" pivotButton="0" quotePrefix="0" xfId="0">
      <alignment horizontal="right"/>
    </xf>
    <xf numFmtId="0" fontId="0" fillId="0" borderId="4" pivotButton="0" quotePrefix="0" xfId="0"/>
    <xf numFmtId="0" fontId="0" fillId="0" borderId="5" pivotButton="0" quotePrefix="0" xfId="0"/>
    <xf numFmtId="3" fontId="12" fillId="9" borderId="1" applyAlignment="1" pivotButton="0" quotePrefix="0" xfId="0">
      <alignment horizontal="center" vertical="center"/>
    </xf>
    <xf numFmtId="3" fontId="7" fillId="10" borderId="1" applyAlignment="1" pivotButton="0" quotePrefix="0" xfId="0">
      <alignment horizontal="center" vertical="center"/>
    </xf>
    <xf numFmtId="3" fontId="6" fillId="9" borderId="1" applyAlignment="1" pivotButton="0" quotePrefix="0" xfId="0">
      <alignment horizontal="center" vertical="center"/>
    </xf>
    <xf numFmtId="164" fontId="7" fillId="10" borderId="1" applyAlignment="1" pivotButton="0" quotePrefix="0" xfId="0">
      <alignment horizontal="center" vertical="center"/>
    </xf>
    <xf numFmtId="0" fontId="8" fillId="0" borderId="1" applyAlignment="1" pivotButton="0" quotePrefix="0" xfId="0">
      <alignment vertical="top" wrapText="1"/>
    </xf>
    <xf numFmtId="0" fontId="13" fillId="7" borderId="1" applyAlignment="1" pivotButton="0" quotePrefix="0" xfId="0">
      <alignment vertical="top" wrapText="1"/>
    </xf>
    <xf numFmtId="0" fontId="8" fillId="7" borderId="1" applyAlignment="1" pivotButton="0" quotePrefix="0" xfId="0">
      <alignment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6" customWidth="1" min="1" max="1"/>
    <col width="34" customWidth="1" min="2" max="2"/>
    <col width="52" customWidth="1" min="3" max="3"/>
    <col width="10" customWidth="1" min="4" max="4"/>
    <col width="10" customWidth="1" min="5" max="5"/>
    <col width="32" customWidth="1" min="6" max="6"/>
  </cols>
  <sheetData>
    <row r="1" ht="30" customHeight="1">
      <c r="A1" s="1" t="inlineStr">
        <is>
          <t>PakFreight Schema Lab — Week 4 Activity</t>
        </is>
      </c>
    </row>
    <row r="2" ht="30" customHeight="1">
      <c r="A2" s="2" t="inlineStr">
        <is>
          <t>Data Warehousing &amp; Business Intelligence · Week 4 — Dimensional Modeling · CLO2 · The Superior University, Lahore</t>
        </is>
      </c>
    </row>
    <row r="4" ht="22" customHeight="1">
      <c r="A4" s="3" t="inlineStr">
        <is>
          <t>THE SITUATION</t>
        </is>
      </c>
    </row>
    <row r="5" ht="62" customHeight="1">
      <c r="A5" s="4" t="inlineStr">
        <is>
          <t>Week 3 left you one fact table and five dimensions: 34 rows, 578,650 kg, PKR 4,808,000 — and not one relationship between them. This week you decide what shape that model should be, prove the decision with arithmetic rather than opinion, and then wire it. Both schemas you will look at are legal. You are marked on why you picked one, so every task here asks for a reason as well as an answer.</t>
        </is>
      </c>
    </row>
    <row r="7" ht="22" customHeight="1">
      <c r="A7" s="3" t="inlineStr">
        <is>
          <t>THE SEVEN TASKS</t>
        </is>
      </c>
    </row>
    <row r="8" ht="32" customHeight="1">
      <c r="A8" s="5" t="inlineStr">
        <is>
          <t>#</t>
        </is>
      </c>
      <c r="B8" s="5" t="inlineStr">
        <is>
          <t>Task</t>
        </is>
      </c>
      <c r="C8" s="5" t="inlineStr">
        <is>
          <t>What you produce</t>
        </is>
      </c>
      <c r="D8" s="5" t="inlineStr">
        <is>
          <t>Marks</t>
        </is>
      </c>
      <c r="E8" s="5" t="inlineStr">
        <is>
          <t>In class</t>
        </is>
      </c>
      <c r="F8" s="5" t="inlineStr">
        <is>
          <t>From the lecture</t>
        </is>
      </c>
    </row>
    <row r="9" ht="20" customHeight="1">
      <c r="A9" s="6" t="inlineStr">
        <is>
          <t>T1</t>
        </is>
      </c>
      <c r="B9" s="7" t="inlineStr">
        <is>
          <t>Hop count audit</t>
        </is>
      </c>
      <c r="C9" s="8" t="inlineStr">
        <is>
          <t>Eight business questions, joins counted in both schemas</t>
        </is>
      </c>
      <c r="D9" s="9" t="n">
        <v>12</v>
      </c>
      <c r="E9" s="10" t="inlineStr">
        <is>
          <t>yes</t>
        </is>
      </c>
      <c r="F9" s="11" t="inlineStr">
        <is>
          <t>slides 8, 17–19</t>
        </is>
      </c>
    </row>
    <row r="10" ht="20" customHeight="1">
      <c r="A10" s="6" t="inlineStr">
        <is>
          <t>T2</t>
        </is>
      </c>
      <c r="B10" s="7" t="inlineStr">
        <is>
          <t>Snowflake it, then justify it</t>
        </is>
      </c>
      <c r="C10" s="8" t="inlineStr">
        <is>
          <t>DimCity split into three tables, and a verdict with a reason</t>
        </is>
      </c>
      <c r="D10" s="9" t="n">
        <v>15</v>
      </c>
      <c r="E10" s="10" t="inlineStr">
        <is>
          <t>yes</t>
        </is>
      </c>
      <c r="F10" s="11" t="inlineStr">
        <is>
          <t>slides 18–19, 23</t>
        </is>
      </c>
    </row>
    <row r="11" ht="20" customHeight="1">
      <c r="A11" s="6" t="inlineStr">
        <is>
          <t>T3</t>
        </is>
      </c>
      <c r="B11" s="7" t="inlineStr">
        <is>
          <t>Storage arithmetic</t>
        </is>
      </c>
      <c r="C11" s="8" t="inlineStr">
        <is>
          <t>The bytes, three ways — and the saving put in context</t>
        </is>
      </c>
      <c r="D11" s="9" t="n">
        <v>12</v>
      </c>
      <c r="E11" s="10" t="inlineStr">
        <is>
          <t>yes</t>
        </is>
      </c>
      <c r="F11" s="11" t="inlineStr">
        <is>
          <t>slides 15, 22</t>
        </is>
      </c>
    </row>
    <row r="12" ht="20" customHeight="1">
      <c r="A12" s="6" t="inlineStr">
        <is>
          <t>T4</t>
        </is>
      </c>
      <c r="B12" s="7" t="inlineStr">
        <is>
          <t>Relationship register</t>
        </is>
      </c>
      <c r="C12" s="8" t="inlineStr">
        <is>
          <t>Six relationships specified before Power BI opens</t>
        </is>
      </c>
      <c r="D12" s="9" t="n">
        <v>20</v>
      </c>
      <c r="E12" s="10" t="inlineStr">
        <is>
          <t>yes</t>
        </is>
      </c>
      <c r="F12" s="11" t="inlineStr">
        <is>
          <t>slides 27, 30, 35</t>
        </is>
      </c>
    </row>
    <row r="13" ht="20" customHeight="1">
      <c r="A13" s="6" t="inlineStr">
        <is>
          <t>T5</t>
        </is>
      </c>
      <c r="B13" s="7" t="inlineStr">
        <is>
          <t>Cross-filter direction</t>
        </is>
      </c>
      <c r="C13" s="8" t="inlineStr">
        <is>
          <t>Six scenarios: Single, Both or measure-level, with the reason</t>
        </is>
      </c>
      <c r="D13" s="9" t="n">
        <v>12</v>
      </c>
      <c r="E13" s="10" t="inlineStr">
        <is>
          <t>homework</t>
        </is>
      </c>
      <c r="F13" s="11" t="inlineStr">
        <is>
          <t>slides 28–29</t>
        </is>
      </c>
    </row>
    <row r="14" ht="20" customHeight="1">
      <c r="A14" s="6" t="inlineStr">
        <is>
          <t>T6</t>
        </is>
      </c>
      <c r="B14" s="7" t="inlineStr">
        <is>
          <t>When to snowflake</t>
        </is>
      </c>
      <c r="C14" s="8" t="inlineStr">
        <is>
          <t>Six scenarios against the four legitimate cases</t>
        </is>
      </c>
      <c r="D14" s="9" t="n">
        <v>12</v>
      </c>
      <c r="E14" s="10" t="inlineStr">
        <is>
          <t>homework</t>
        </is>
      </c>
      <c r="F14" s="11" t="inlineStr">
        <is>
          <t>slides 23–24</t>
        </is>
      </c>
    </row>
    <row r="15" ht="20" customHeight="1">
      <c r="A15" s="6" t="inlineStr">
        <is>
          <t>T7</t>
        </is>
      </c>
      <c r="B15" s="7" t="inlineStr">
        <is>
          <t>Reconcile</t>
        </is>
      </c>
      <c r="C15" s="8" t="inlineStr">
        <is>
          <t>Thirteen checks. All thirteen must read “pass”.</t>
        </is>
      </c>
      <c r="D15" s="9" t="n">
        <v>12</v>
      </c>
      <c r="E15" s="10" t="inlineStr">
        <is>
          <t>homework</t>
        </is>
      </c>
      <c r="F15" s="11" t="inlineStr">
        <is>
          <t>slide 36</t>
        </is>
      </c>
    </row>
    <row r="16">
      <c r="C16" s="12" t="inlineStr">
        <is>
          <t>TOTAL</t>
        </is>
      </c>
      <c r="D16" s="6" t="n">
        <v>95</v>
      </c>
    </row>
    <row r="18" ht="22" customHeight="1">
      <c r="A18" s="3" t="inlineStr">
        <is>
          <t>HOW TO WORK</t>
        </is>
      </c>
    </row>
    <row r="19" ht="30" customHeight="1">
      <c r="A19" s="13" t="inlineStr">
        <is>
          <t>·  Teams of 3. Name one person each: the Modeller owns T2 and has to defend the shape; the Arithmetician owns T1 and T3 and may not round anything; the Reconciler owns T7 and has veto power over “it looks fine”.</t>
        </is>
      </c>
    </row>
    <row r="20" ht="30" customHeight="1">
      <c r="A20" s="13" t="inlineStr">
        <is>
          <t>·  Type only in cream cells. Grey cells are source data as received from Week 3 — if you are editing a grey cell you have misread the task.</t>
        </is>
      </c>
    </row>
    <row r="21" ht="30" customHeight="1">
      <c r="A21" s="13" t="inlineStr">
        <is>
          <t>·  Do T1 before T2. Counting the hops first is what makes the T2 verdict an argument instead of a preference.</t>
        </is>
      </c>
    </row>
    <row r="22" ht="30" customHeight="1">
      <c r="A22" s="13" t="inlineStr">
        <is>
          <t>·  T4 is filled in on paper, or in this sheet, BEFORE Power BI opens. That is the whole discipline of the week and it is worth 20 marks.</t>
        </is>
      </c>
    </row>
    <row r="23" ht="30" customHeight="1">
      <c r="A23" s="13" t="inlineStr">
        <is>
          <t>·  T7 marks itself. Every ✘ fix means something earlier is still wrong — go and find it rather than adjusting the check.</t>
        </is>
      </c>
    </row>
    <row r="25" ht="22" customHeight="1">
      <c r="A25" s="3" t="inlineStr">
        <is>
          <t>THE THREE TRAPS</t>
        </is>
      </c>
    </row>
    <row r="26" ht="34" customHeight="1">
      <c r="A26" s="14" t="inlineStr">
        <is>
          <t>T1 · only four of the eight questions change. Students who write a bigger number in every snowflake row have not counted, they have assumed. The joins only increase where the question actually reads a province or a country.</t>
        </is>
      </c>
    </row>
    <row r="27" ht="34" customHeight="1">
      <c r="A27" s="14" t="inlineStr">
        <is>
          <t>T3 · at 15 rows, normalizing makes the model BIGGER, not smaller. The dictionaries cost more than the pointers they save. If your T3 shows a saving at 15 rows, you have forgotten to count DimProvince itself.</t>
        </is>
      </c>
    </row>
    <row r="28" ht="34" customHeight="1">
      <c r="A28" s="14" t="inlineStr">
        <is>
          <t>T4 · there are six relationships and only five can be active. If all six of your Active cells say Yes, Power BI will refuse one of them and your register is already wrong before you build anything.</t>
        </is>
      </c>
    </row>
    <row r="30" ht="34" customHeight="1">
      <c r="A30" s="15" t="inlineStr">
        <is>
          <t>Due on the LMS before Week 5.  W4_Schema_&lt;team number&gt;.xlsx with all seven tasks and T7 reading 13 / 13, and W4_&lt;roll number&gt;.pbix from the Power BI lab guide. Marks: 95 in the workbook + 12 in the paper quick check.</t>
        </is>
      </c>
    </row>
  </sheetData>
  <mergeCells count="16">
    <mergeCell ref="A2:F2"/>
    <mergeCell ref="A28:F28"/>
    <mergeCell ref="A19:F19"/>
    <mergeCell ref="A1:F1"/>
    <mergeCell ref="A5:F5"/>
    <mergeCell ref="A23:F23"/>
    <mergeCell ref="A27:F27"/>
    <mergeCell ref="A22:F22"/>
    <mergeCell ref="A18:F18"/>
    <mergeCell ref="A4:F4"/>
    <mergeCell ref="A26:F26"/>
    <mergeCell ref="A30:F30"/>
    <mergeCell ref="A20:F20"/>
    <mergeCell ref="A21:F21"/>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showGridLines="0" workbookViewId="0">
      <selection activeCell="A1" sqref="A1"/>
    </sheetView>
  </sheetViews>
  <sheetFormatPr baseColWidth="8" defaultRowHeight="15"/>
  <cols>
    <col width="16" customWidth="1" min="1" max="1"/>
    <col width="22" customWidth="1" min="2" max="2"/>
    <col width="14" customWidth="1" min="3" max="3"/>
    <col width="14" customWidth="1" min="4" max="4"/>
    <col width="10" customWidth="1" min="5" max="5"/>
    <col width="24" customWidth="1" min="6" max="6"/>
    <col width="34" customWidth="1" min="7" max="7"/>
  </cols>
  <sheetData>
    <row r="1" ht="30" customHeight="1">
      <c r="A1" s="1" t="inlineStr">
        <is>
          <t>The Week 3 Star — Source Data, Do Not Edit</t>
        </is>
      </c>
    </row>
    <row r="2" ht="30" customHeight="1">
      <c r="A2" s="2" t="inlineStr">
        <is>
          <t>Five dimensions and one fact table, exactly as Week 3 left them. Province and Region are COLUMNS on DimCity — that is the design decision Week 4 examines.</t>
        </is>
      </c>
    </row>
    <row r="4" ht="22" customHeight="1">
      <c r="A4" s="3" t="inlineStr">
        <is>
          <t>DimCity — flat, as built in Week 3</t>
        </is>
      </c>
    </row>
    <row r="5" ht="32" customHeight="1">
      <c r="A5" s="5" t="inlineStr">
        <is>
          <t>CityKey</t>
        </is>
      </c>
      <c r="B5" s="5" t="inlineStr">
        <is>
          <t>CityName</t>
        </is>
      </c>
      <c r="C5" s="5" t="inlineStr">
        <is>
          <t>Province</t>
        </is>
      </c>
      <c r="D5" s="5" t="inlineStr">
        <is>
          <t>Region</t>
        </is>
      </c>
      <c r="E5" s="5" t="inlineStr">
        <is>
          <t>IsPortCity</t>
        </is>
      </c>
      <c r="F5" s="5" t="inlineStr">
        <is>
          <t>FacilityType</t>
        </is>
      </c>
      <c r="G5" s="5" t="inlineStr">
        <is>
          <t>Raw strings that conform to it</t>
        </is>
      </c>
    </row>
    <row r="6" ht="16" customHeight="1">
      <c r="A6" s="16" t="n">
        <v>1</v>
      </c>
      <c r="B6" s="17" t="inlineStr">
        <is>
          <t>Karachi</t>
        </is>
      </c>
      <c r="C6" s="17" t="inlineStr">
        <is>
          <t>Sindh</t>
        </is>
      </c>
      <c r="D6" s="17" t="inlineStr">
        <is>
          <t>South</t>
        </is>
      </c>
      <c r="E6" s="18" t="inlineStr">
        <is>
          <t>Yes</t>
        </is>
      </c>
      <c r="F6" s="17" t="inlineStr">
        <is>
          <t>Sea Port + Rail Hub</t>
        </is>
      </c>
      <c r="G6" s="17" t="inlineStr">
        <is>
          <t>Karachi Port | Port Qasim | Karachi Cantt | Pipri Marshalling Yard | Karachi</t>
        </is>
      </c>
    </row>
    <row r="7" ht="16" customHeight="1">
      <c r="A7" s="16" t="n">
        <v>2</v>
      </c>
      <c r="B7" s="17" t="inlineStr">
        <is>
          <t>Gwadar</t>
        </is>
      </c>
      <c r="C7" s="17" t="inlineStr">
        <is>
          <t>Balochistan</t>
        </is>
      </c>
      <c r="D7" s="17" t="inlineStr">
        <is>
          <t>South</t>
        </is>
      </c>
      <c r="E7" s="18" t="inlineStr">
        <is>
          <t>Yes</t>
        </is>
      </c>
      <c r="F7" s="17" t="inlineStr">
        <is>
          <t>Sea Port</t>
        </is>
      </c>
      <c r="G7" s="17" t="inlineStr">
        <is>
          <t>Gwadar Port</t>
        </is>
      </c>
    </row>
    <row r="8" ht="16" customHeight="1">
      <c r="A8" s="16" t="n">
        <v>3</v>
      </c>
      <c r="B8" s="17" t="inlineStr">
        <is>
          <t>Lahore</t>
        </is>
      </c>
      <c r="C8" s="17" t="inlineStr">
        <is>
          <t>Punjab</t>
        </is>
      </c>
      <c r="D8" s="17" t="inlineStr">
        <is>
          <t>North</t>
        </is>
      </c>
      <c r="E8" s="18" t="inlineStr">
        <is>
          <t>No</t>
        </is>
      </c>
      <c r="F8" s="17" t="inlineStr">
        <is>
          <t>Dry Port</t>
        </is>
      </c>
      <c r="G8" s="17" t="inlineStr">
        <is>
          <t>Lahore Dry Port | Lahore</t>
        </is>
      </c>
    </row>
    <row r="9" ht="16" customHeight="1">
      <c r="A9" s="16" t="n">
        <v>4</v>
      </c>
      <c r="B9" s="17" t="inlineStr">
        <is>
          <t>Multan</t>
        </is>
      </c>
      <c r="C9" s="17" t="inlineStr">
        <is>
          <t>Punjab</t>
        </is>
      </c>
      <c r="D9" s="17" t="inlineStr">
        <is>
          <t>Central</t>
        </is>
      </c>
      <c r="E9" s="18" t="inlineStr">
        <is>
          <t>No</t>
        </is>
      </c>
      <c r="F9" s="17" t="inlineStr">
        <is>
          <t>Inland Depot</t>
        </is>
      </c>
      <c r="G9" s="17" t="inlineStr">
        <is>
          <t>Multan</t>
        </is>
      </c>
    </row>
    <row r="10" ht="16" customHeight="1">
      <c r="A10" s="16" t="n">
        <v>5</v>
      </c>
      <c r="B10" s="17" t="inlineStr">
        <is>
          <t>Islamabad</t>
        </is>
      </c>
      <c r="C10" s="17" t="inlineStr">
        <is>
          <t>Islamabad ICT</t>
        </is>
      </c>
      <c r="D10" s="17" t="inlineStr">
        <is>
          <t>North</t>
        </is>
      </c>
      <c r="E10" s="18" t="inlineStr">
        <is>
          <t>No</t>
        </is>
      </c>
      <c r="F10" s="17" t="inlineStr">
        <is>
          <t>Dry Port</t>
        </is>
      </c>
      <c r="G10" s="17" t="inlineStr">
        <is>
          <t>Islamabad Dry Port | Islamabad</t>
        </is>
      </c>
    </row>
    <row r="11" ht="16" customHeight="1">
      <c r="A11" s="16" t="n">
        <v>6</v>
      </c>
      <c r="B11" s="17" t="inlineStr">
        <is>
          <t>Quetta</t>
        </is>
      </c>
      <c r="C11" s="17" t="inlineStr">
        <is>
          <t>Balochistan</t>
        </is>
      </c>
      <c r="D11" s="17" t="inlineStr">
        <is>
          <t>West</t>
        </is>
      </c>
      <c r="E11" s="18" t="inlineStr">
        <is>
          <t>No</t>
        </is>
      </c>
      <c r="F11" s="17" t="inlineStr">
        <is>
          <t>Inland Depot</t>
        </is>
      </c>
      <c r="G11" s="17" t="inlineStr">
        <is>
          <t>Quetta</t>
        </is>
      </c>
    </row>
    <row r="12" ht="16" customHeight="1">
      <c r="A12" s="16" t="n">
        <v>7</v>
      </c>
      <c r="B12" s="17" t="inlineStr">
        <is>
          <t>Faisalabad</t>
        </is>
      </c>
      <c r="C12" s="17" t="inlineStr">
        <is>
          <t>Punjab</t>
        </is>
      </c>
      <c r="D12" s="17" t="inlineStr">
        <is>
          <t>Central</t>
        </is>
      </c>
      <c r="E12" s="18" t="inlineStr">
        <is>
          <t>No</t>
        </is>
      </c>
      <c r="F12" s="17" t="inlineStr">
        <is>
          <t>Dry Port</t>
        </is>
      </c>
      <c r="G12" s="17" t="inlineStr">
        <is>
          <t>Faisalabad Dry Port | Faisalabad</t>
        </is>
      </c>
    </row>
    <row r="13" ht="16" customHeight="1">
      <c r="A13" s="16" t="n">
        <v>8</v>
      </c>
      <c r="B13" s="17" t="inlineStr">
        <is>
          <t>Rawalpindi</t>
        </is>
      </c>
      <c r="C13" s="17" t="inlineStr">
        <is>
          <t>Punjab</t>
        </is>
      </c>
      <c r="D13" s="17" t="inlineStr">
        <is>
          <t>North</t>
        </is>
      </c>
      <c r="E13" s="18" t="inlineStr">
        <is>
          <t>No</t>
        </is>
      </c>
      <c r="F13" s="17" t="inlineStr">
        <is>
          <t>Rail Hub</t>
        </is>
      </c>
      <c r="G13" s="17" t="inlineStr">
        <is>
          <t>Rawalpindi</t>
        </is>
      </c>
    </row>
    <row r="14" ht="16" customHeight="1">
      <c r="A14" s="16" t="n">
        <v>9</v>
      </c>
      <c r="B14" s="17" t="inlineStr">
        <is>
          <t>Sialkot</t>
        </is>
      </c>
      <c r="C14" s="17" t="inlineStr">
        <is>
          <t>Punjab</t>
        </is>
      </c>
      <c r="D14" s="17" t="inlineStr">
        <is>
          <t>North</t>
        </is>
      </c>
      <c r="E14" s="18" t="inlineStr">
        <is>
          <t>No</t>
        </is>
      </c>
      <c r="F14" s="17" t="inlineStr">
        <is>
          <t>Dry Port</t>
        </is>
      </c>
      <c r="G14" s="17" t="inlineStr">
        <is>
          <t>Sialkot Dry Port | Sialkot</t>
        </is>
      </c>
    </row>
    <row r="15" ht="16" customHeight="1">
      <c r="A15" s="16" t="n">
        <v>10</v>
      </c>
      <c r="B15" s="17" t="inlineStr">
        <is>
          <t>Peshawar</t>
        </is>
      </c>
      <c r="C15" s="17" t="inlineStr">
        <is>
          <t>Khyber Pakhtunkhwa</t>
        </is>
      </c>
      <c r="D15" s="17" t="inlineStr">
        <is>
          <t>North</t>
        </is>
      </c>
      <c r="E15" s="18" t="inlineStr">
        <is>
          <t>No</t>
        </is>
      </c>
      <c r="F15" s="17" t="inlineStr">
        <is>
          <t>Inland Depot</t>
        </is>
      </c>
      <c r="G15" s="17" t="inlineStr">
        <is>
          <t>Peshawar Cantt | Peshawar</t>
        </is>
      </c>
    </row>
    <row r="16" ht="16" customHeight="1">
      <c r="A16" s="16" t="n">
        <v>11</v>
      </c>
      <c r="B16" s="17" t="inlineStr">
        <is>
          <t>Hyderabad</t>
        </is>
      </c>
      <c r="C16" s="17" t="inlineStr">
        <is>
          <t>Sindh</t>
        </is>
      </c>
      <c r="D16" s="17" t="inlineStr">
        <is>
          <t>South</t>
        </is>
      </c>
      <c r="E16" s="18" t="inlineStr">
        <is>
          <t>No</t>
        </is>
      </c>
      <c r="F16" s="17" t="inlineStr">
        <is>
          <t>Inland Depot</t>
        </is>
      </c>
      <c r="G16" s="17" t="inlineStr">
        <is>
          <t>Hyderabad</t>
        </is>
      </c>
    </row>
    <row r="17" ht="16" customHeight="1">
      <c r="A17" s="16" t="n">
        <v>12</v>
      </c>
      <c r="B17" s="17" t="inlineStr">
        <is>
          <t>Sukkur</t>
        </is>
      </c>
      <c r="C17" s="17" t="inlineStr">
        <is>
          <t>Sindh</t>
        </is>
      </c>
      <c r="D17" s="17" t="inlineStr">
        <is>
          <t>Central</t>
        </is>
      </c>
      <c r="E17" s="18" t="inlineStr">
        <is>
          <t>No</t>
        </is>
      </c>
      <c r="F17" s="17" t="inlineStr">
        <is>
          <t>Inland Depot</t>
        </is>
      </c>
      <c r="G17" s="17" t="inlineStr">
        <is>
          <t>Sukkur</t>
        </is>
      </c>
    </row>
    <row r="18" ht="16" customHeight="1">
      <c r="A18" s="16" t="n">
        <v>13</v>
      </c>
      <c r="B18" s="17" t="inlineStr">
        <is>
          <t>Gujranwala</t>
        </is>
      </c>
      <c r="C18" s="17" t="inlineStr">
        <is>
          <t>Punjab</t>
        </is>
      </c>
      <c r="D18" s="17" t="inlineStr">
        <is>
          <t>North</t>
        </is>
      </c>
      <c r="E18" s="18" t="inlineStr">
        <is>
          <t>No</t>
        </is>
      </c>
      <c r="F18" s="17" t="inlineStr">
        <is>
          <t>Inland Depot</t>
        </is>
      </c>
      <c r="G18" s="17" t="inlineStr">
        <is>
          <t>Gujranwala</t>
        </is>
      </c>
    </row>
    <row r="19" ht="16" customHeight="1">
      <c r="A19" s="16" t="n">
        <v>14</v>
      </c>
      <c r="B19" s="17" t="inlineStr">
        <is>
          <t>Abbottabad</t>
        </is>
      </c>
      <c r="C19" s="17" t="inlineStr">
        <is>
          <t>Khyber Pakhtunkhwa</t>
        </is>
      </c>
      <c r="D19" s="17" t="inlineStr">
        <is>
          <t>North</t>
        </is>
      </c>
      <c r="E19" s="18" t="inlineStr">
        <is>
          <t>No</t>
        </is>
      </c>
      <c r="F19" s="17" t="inlineStr">
        <is>
          <t>Inland Depot</t>
        </is>
      </c>
      <c r="G19" s="17" t="inlineStr">
        <is>
          <t>Abbottabad</t>
        </is>
      </c>
    </row>
    <row r="20" ht="16" customHeight="1">
      <c r="A20" s="16" t="n">
        <v>-1</v>
      </c>
      <c r="B20" s="17" t="inlineStr">
        <is>
          <t>Unknown</t>
        </is>
      </c>
      <c r="C20" s="17" t="inlineStr">
        <is>
          <t>Unknown</t>
        </is>
      </c>
      <c r="D20" s="17" t="inlineStr">
        <is>
          <t>Unknown</t>
        </is>
      </c>
      <c r="E20" s="18" t="inlineStr">
        <is>
          <t>No</t>
        </is>
      </c>
      <c r="F20" s="17" t="inlineStr">
        <is>
          <t>Unknown</t>
        </is>
      </c>
      <c r="G20" s="17" t="inlineStr"/>
    </row>
    <row r="21" ht="26" customHeight="1">
      <c r="A21" s="14" t="inlineStr">
        <is>
          <t>15 rows: 14 conformed cities plus the Unknown member at key −1. Five distinct provinces, four distinct regions — count them, T3 needs both numbers.</t>
        </is>
      </c>
    </row>
    <row r="23" ht="22" customHeight="1">
      <c r="A23" s="3" t="inlineStr">
        <is>
          <t>The other four dimensions, and the fact</t>
        </is>
      </c>
    </row>
    <row r="24" ht="32" customHeight="1">
      <c r="A24" s="5" t="inlineStr">
        <is>
          <t>Table</t>
        </is>
      </c>
      <c r="B24" s="5" t="inlineStr">
        <is>
          <t>Rows</t>
        </is>
      </c>
      <c r="C24" s="5" t="inlineStr">
        <is>
          <t>Grain / what one row is</t>
        </is>
      </c>
      <c r="D24" s="5" t="inlineStr">
        <is>
          <t>Key column</t>
        </is>
      </c>
      <c r="E24" s="5" t="inlineStr"/>
      <c r="F24" s="5" t="inlineStr"/>
      <c r="G24" s="5" t="inlineStr">
        <is>
          <t>Notes</t>
        </is>
      </c>
    </row>
    <row r="25" ht="18" customHeight="1">
      <c r="A25" s="19" t="inlineStr">
        <is>
          <t>DimDate</t>
        </is>
      </c>
      <c r="B25" s="18" t="n">
        <v>28</v>
      </c>
      <c r="C25" s="20" t="inlineStr">
        <is>
          <t>one calendar day</t>
        </is>
      </c>
      <c r="D25" s="21" t="inlineStr">
        <is>
          <t>DateKey</t>
        </is>
      </c>
      <c r="E25" s="20" t="inlineStr"/>
      <c r="F25" s="33" t="n"/>
      <c r="G25" s="22" t="inlineStr">
        <is>
          <t>gapless — Feb 8 has a row although nothing shipped</t>
        </is>
      </c>
    </row>
    <row r="26" ht="18" customHeight="1">
      <c r="A26" s="19" t="inlineStr">
        <is>
          <t>DimRoute</t>
        </is>
      </c>
      <c r="B26" s="18" t="n">
        <v>21</v>
      </c>
      <c r="C26" s="20" t="inlineStr">
        <is>
          <t>one origin-destination corridor</t>
        </is>
      </c>
      <c r="D26" s="21" t="inlineStr">
        <is>
          <t>RouteKey</t>
        </is>
      </c>
      <c r="E26" s="20" t="inlineStr"/>
      <c r="F26" s="33" t="n"/>
      <c r="G26" s="22" t="inlineStr">
        <is>
          <t>20 corridors + Unknown; carries Corridor and DistanceBand</t>
        </is>
      </c>
    </row>
    <row r="27" ht="18" customHeight="1">
      <c r="A27" s="19" t="inlineStr">
        <is>
          <t>DimMode</t>
        </is>
      </c>
      <c r="B27" s="18" t="n">
        <v>4</v>
      </c>
      <c r="C27" s="20" t="inlineStr">
        <is>
          <t>one transport mode</t>
        </is>
      </c>
      <c r="D27" s="21" t="inlineStr">
        <is>
          <t>ModeKey</t>
        </is>
      </c>
      <c r="E27" s="20" t="inlineStr"/>
      <c r="F27" s="33" t="n"/>
      <c r="G27" s="22" t="inlineStr">
        <is>
          <t>marine, rail, road + Unknown</t>
        </is>
      </c>
    </row>
    <row r="28" ht="18" customHeight="1">
      <c r="A28" s="19" t="inlineStr">
        <is>
          <t>DimStatus</t>
        </is>
      </c>
      <c r="B28" s="18" t="n">
        <v>4</v>
      </c>
      <c r="C28" s="20" t="inlineStr">
        <is>
          <t>one delivery state</t>
        </is>
      </c>
      <c r="D28" s="21" t="inlineStr">
        <is>
          <t>StatusKey</t>
        </is>
      </c>
      <c r="E28" s="20" t="inlineStr"/>
      <c r="F28" s="33" t="n"/>
      <c r="G28" s="22" t="inlineStr">
        <is>
          <t>delivered, in transit, delayed + Unknown</t>
        </is>
      </c>
    </row>
    <row r="29" ht="18" customHeight="1">
      <c r="A29" s="19" t="inlineStr">
        <is>
          <t>FactShipment</t>
        </is>
      </c>
      <c r="B29" s="18" t="n">
        <v>34</v>
      </c>
      <c r="C29" s="20" t="inlineStr">
        <is>
          <t>one shipment leg</t>
        </is>
      </c>
      <c r="D29" s="21" t="inlineStr">
        <is>
          <t>six foreign keys</t>
        </is>
      </c>
      <c r="E29" s="20" t="inlineStr"/>
      <c r="F29" s="33" t="n"/>
      <c r="G29" s="22" t="inlineStr">
        <is>
          <t>ShipmentID is a degenerate dimension; three measures</t>
        </is>
      </c>
    </row>
    <row r="31" ht="22" customHeight="1">
      <c r="A31" s="3" t="inlineStr">
        <is>
          <t>The two totals that cannot move</t>
        </is>
      </c>
    </row>
    <row r="32">
      <c r="A32" s="23" t="inlineStr">
        <is>
          <t>SUM(WeightKG)</t>
        </is>
      </c>
      <c r="B32" s="24" t="n">
        <v>578650</v>
      </c>
      <c r="C32" s="25" t="inlineStr">
        <is>
          <t>kilograms</t>
        </is>
      </c>
    </row>
    <row r="33">
      <c r="A33" s="23" t="inlineStr">
        <is>
          <t>SUM(FreightCostPKR)</t>
        </is>
      </c>
      <c r="B33" s="24" t="n">
        <v>4808000</v>
      </c>
      <c r="C33" s="25" t="inlineStr">
        <is>
          <t>Pakistani rupees</t>
        </is>
      </c>
    </row>
    <row r="35" ht="34" customHeight="1">
      <c r="A35" s="14" t="inlineStr">
        <is>
          <t>Every structural change you make this week has to end on these two numbers, to the kilogram and the rupee. Restructuring a schema never changes what the business shipped — so if they move, the model is wrong and the data is not.</t>
        </is>
      </c>
    </row>
  </sheetData>
  <mergeCells count="12">
    <mergeCell ref="A1:G1"/>
    <mergeCell ref="E29:F29"/>
    <mergeCell ref="A31:G31"/>
    <mergeCell ref="E25:F25"/>
    <mergeCell ref="A21:G21"/>
    <mergeCell ref="A35:G35"/>
    <mergeCell ref="A4:G4"/>
    <mergeCell ref="E27:F27"/>
    <mergeCell ref="E28:F28"/>
    <mergeCell ref="A2:G2"/>
    <mergeCell ref="E26:F26"/>
    <mergeCell ref="A23:G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showGridLines="0" workbookViewId="0">
      <selection activeCell="A1" sqref="A1"/>
    </sheetView>
  </sheetViews>
  <sheetFormatPr baseColWidth="8" defaultRowHeight="15"/>
  <cols>
    <col width="5" customWidth="1" min="1" max="1"/>
    <col width="46" customWidth="1" min="2" max="2"/>
    <col width="38" customWidth="1" min="3" max="3"/>
    <col width="12" customWidth="1" min="4" max="4"/>
    <col width="12" customWidth="1" min="5" max="5"/>
    <col width="12" customWidth="1" min="6" max="6"/>
    <col width="38" customWidth="1" min="7" max="7"/>
  </cols>
  <sheetData>
    <row r="1" ht="30" customHeight="1">
      <c r="A1" s="1" t="inlineStr">
        <is>
          <t>T1 · Hop Count Audit — 12 marks</t>
        </is>
      </c>
    </row>
    <row r="2" ht="30" customHeight="1">
      <c r="A2" s="2" t="inlineStr">
        <is>
          <t>Count the join operations each question needs, in the star you have and in the snowflake on the next sheet. Count them; do not estimate them.</t>
        </is>
      </c>
    </row>
    <row r="4" ht="48" customHeight="1">
      <c r="A4" s="4" t="inlineStr">
        <is>
          <t>Definition, and use it literally: a JOIN is one join operation beyond FactShipment itself. “Total weight by month” touches DimDate only, so it is 1 join in either schema. The snowflake splits DimCity into DimCity → DimProvince → DimCountry; everything else is unchanged.</t>
        </is>
      </c>
    </row>
    <row r="6" ht="32" customHeight="1">
      <c r="A6" s="5" t="inlineStr">
        <is>
          <t>#</t>
        </is>
      </c>
      <c r="B6" s="5" t="inlineStr">
        <is>
          <t>Business question</t>
        </is>
      </c>
      <c r="C6" s="5" t="inlineStr">
        <is>
          <t>Dimensions the question touches</t>
        </is>
      </c>
      <c r="D6" s="5" t="inlineStr">
        <is>
          <t>Star joins</t>
        </is>
      </c>
      <c r="E6" s="5" t="inlineStr">
        <is>
          <t>Snow joins</t>
        </is>
      </c>
      <c r="F6" s="5" t="inlineStr">
        <is>
          <t>Changed?</t>
        </is>
      </c>
      <c r="G6" s="5" t="inlineStr">
        <is>
          <t>Why it does or does not change</t>
        </is>
      </c>
    </row>
    <row r="7" ht="30" customHeight="1">
      <c r="A7" s="6" t="n">
        <v>1</v>
      </c>
      <c r="B7" s="17" t="inlineStr">
        <is>
          <t>Total weight by month</t>
        </is>
      </c>
      <c r="C7" s="26" t="inlineStr">
        <is>
          <t>DimDate</t>
        </is>
      </c>
      <c r="D7" s="27" t="n">
        <v>1</v>
      </c>
      <c r="E7" s="27" t="n">
        <v>1</v>
      </c>
      <c r="F7" s="18">
        <f>IF(D7="","",IF(D7=E7,"no","YES"))</f>
        <v/>
      </c>
      <c r="G7" s="28" t="inlineStr">
        <is>
          <t>MonthName lives on DimDate in both schemas — no extra hop</t>
        </is>
      </c>
    </row>
    <row r="8" ht="30" customHeight="1">
      <c r="A8" s="6" t="n">
        <v>2</v>
      </c>
      <c r="B8" s="17" t="inlineStr">
        <is>
          <t>Total weight by origin city</t>
        </is>
      </c>
      <c r="C8" s="26" t="inlineStr">
        <is>
          <t>DimCity</t>
        </is>
      </c>
      <c r="D8" s="27" t="n">
        <v>1</v>
      </c>
      <c r="E8" s="27" t="n">
        <v>1</v>
      </c>
      <c r="F8" s="18">
        <f>IF(D8="","",IF(D8=E8,"no","YES"))</f>
        <v/>
      </c>
      <c r="G8" s="28" t="inlineStr">
        <is>
          <t>CityName lives on DimCity in both schemas — no extra hop</t>
        </is>
      </c>
    </row>
    <row r="9" ht="30" customHeight="1">
      <c r="A9" s="6" t="n">
        <v>3</v>
      </c>
      <c r="B9" s="17" t="inlineStr">
        <is>
          <t>Total weight by province</t>
        </is>
      </c>
      <c r="C9" s="26" t="inlineStr">
        <is>
          <t>DimCity</t>
        </is>
      </c>
      <c r="D9" s="27" t="n">
        <v>1</v>
      </c>
      <c r="E9" s="27" t="n">
        <v>2</v>
      </c>
      <c r="F9" s="18">
        <f>IF(D9="","",IF(D9=E9,"no","YES"))</f>
        <v/>
      </c>
      <c r="G9" s="28" t="inlineStr">
        <is>
          <t>Province moved out to DimProvince — one extra join</t>
        </is>
      </c>
    </row>
    <row r="10" ht="30" customHeight="1">
      <c r="A10" s="6" t="n">
        <v>4</v>
      </c>
      <c r="B10" s="17" t="inlineStr">
        <is>
          <t>Total weight by country</t>
        </is>
      </c>
      <c r="C10" s="26" t="inlineStr">
        <is>
          <t>DimCity</t>
        </is>
      </c>
      <c r="D10" s="27" t="n">
        <v>1</v>
      </c>
      <c r="E10" s="27" t="n">
        <v>3</v>
      </c>
      <c r="F10" s="18">
        <f>IF(D10="","",IF(D10=E10,"no","YES"))</f>
        <v/>
      </c>
      <c r="G10" s="28" t="inlineStr">
        <is>
          <t>Country sits two hops out: DimCity → DimProvince → DimCountry</t>
        </is>
      </c>
    </row>
    <row r="11" ht="30" customHeight="1">
      <c r="A11" s="6" t="n">
        <v>5</v>
      </c>
      <c r="B11" s="17" t="inlineStr">
        <is>
          <t>Total cost by province, by month</t>
        </is>
      </c>
      <c r="C11" s="26" t="inlineStr">
        <is>
          <t>DimDate, DimCity</t>
        </is>
      </c>
      <c r="D11" s="27" t="n">
        <v>2</v>
      </c>
      <c r="E11" s="27" t="n">
        <v>3</v>
      </c>
      <c r="F11" s="18">
        <f>IF(D11="","",IF(D11=E11,"no","YES"))</f>
        <v/>
      </c>
      <c r="G11" s="28" t="inlineStr">
        <is>
          <t>Month unchanged (1 join); province adds one hop (2 → 3)</t>
        </is>
      </c>
    </row>
    <row r="12" ht="30" customHeight="1">
      <c r="A12" s="6" t="n">
        <v>6</v>
      </c>
      <c r="B12" s="17" t="inlineStr">
        <is>
          <t>Total weight by mode and status</t>
        </is>
      </c>
      <c r="C12" s="26" t="inlineStr">
        <is>
          <t>DimMode, DimStatus</t>
        </is>
      </c>
      <c r="D12" s="27" t="n">
        <v>2</v>
      </c>
      <c r="E12" s="27" t="n">
        <v>2</v>
      </c>
      <c r="F12" s="18">
        <f>IF(D12="","",IF(D12=E12,"no","YES"))</f>
        <v/>
      </c>
      <c r="G12" s="28" t="inlineStr">
        <is>
          <t>Neither dimension was snowflaked — join count identical</t>
        </is>
      </c>
    </row>
    <row r="13" ht="30" customHeight="1">
      <c r="A13" s="6" t="n">
        <v>7</v>
      </c>
      <c r="B13" s="17" t="inlineStr">
        <is>
          <t>Cost per kg by corridor</t>
        </is>
      </c>
      <c r="C13" s="26" t="inlineStr">
        <is>
          <t>DimRoute</t>
        </is>
      </c>
      <c r="D13" s="27" t="n">
        <v>1</v>
      </c>
      <c r="E13" s="27" t="n">
        <v>1</v>
      </c>
      <c r="F13" s="18">
        <f>IF(D13="","",IF(D13=E13,"no","YES"))</f>
        <v/>
      </c>
      <c r="G13" s="28" t="inlineStr">
        <is>
          <t>Corridor lives on DimRoute in both schemas — no extra hop</t>
        </is>
      </c>
    </row>
    <row r="14" ht="30" customHeight="1">
      <c r="A14" s="6" t="n">
        <v>8</v>
      </c>
      <c r="B14" s="17" t="inlineStr">
        <is>
          <t>Weight by destination province, by mode</t>
        </is>
      </c>
      <c r="C14" s="26" t="inlineStr">
        <is>
          <t>DimCity, DimMode</t>
        </is>
      </c>
      <c r="D14" s="27" t="n">
        <v>2</v>
      </c>
      <c r="E14" s="27" t="n">
        <v>3</v>
      </c>
      <c r="F14" s="18">
        <f>IF(D14="","",IF(D14=E14,"no","YES"))</f>
        <v/>
      </c>
      <c r="G14" s="28" t="inlineStr">
        <is>
          <t>Destination city → province is one extra hop; mode unchanged</t>
        </is>
      </c>
    </row>
    <row r="15">
      <c r="B15" s="12" t="inlineStr">
        <is>
          <t>TOTALS</t>
        </is>
      </c>
      <c r="D15" s="29">
        <f>SUM(D7:D14)</f>
        <v/>
      </c>
      <c r="E15" s="29">
        <f>SUM(E7:E14)</f>
        <v/>
      </c>
      <c r="F15" s="29">
        <f>COUNTIF(F7:F14,"YES")</f>
        <v/>
      </c>
    </row>
    <row r="17" ht="22" customHeight="1">
      <c r="A17" s="3" t="inlineStr">
        <is>
          <t>Self-check — these three must pass before you move on</t>
        </is>
      </c>
    </row>
    <row r="18">
      <c r="B18" s="7" t="inlineStr">
        <is>
          <t>Total star joins across the eight questions</t>
        </is>
      </c>
      <c r="D18" s="18">
        <f>D15</f>
        <v/>
      </c>
      <c r="E18" s="6">
        <f>IF(D15=11,"✔ pass","✘ fix")</f>
        <v/>
      </c>
    </row>
    <row r="19">
      <c r="B19" s="7" t="inlineStr">
        <is>
          <t>Total snowflake joins</t>
        </is>
      </c>
      <c r="D19" s="18">
        <f>E15</f>
        <v/>
      </c>
      <c r="E19" s="6">
        <f>IF(E15=16,"✔ pass","✘ fix")</f>
        <v/>
      </c>
    </row>
    <row r="20">
      <c r="B20" s="7" t="inlineStr">
        <is>
          <t>Questions whose join count changes</t>
        </is>
      </c>
      <c r="D20" s="18">
        <f>F15</f>
        <v/>
      </c>
      <c r="E20" s="6">
        <f>IF(F15=4,"✔ pass","✘ fix")</f>
        <v/>
      </c>
    </row>
    <row r="21" ht="34" customHeight="1">
      <c r="A21" s="14" t="inlineStr">
        <is>
          <t>If your “changed” count is 8, you assumed instead of counting — only 4 of the eight questions read a province or a country at all. If it is 0, you have not split DimCity. Both mistakes score zero for this task.</t>
        </is>
      </c>
    </row>
    <row r="23" ht="22" customHeight="1">
      <c r="A23" s="3" t="inlineStr">
        <is>
          <t>One sentence, and it is worth 4 of the 12 marks</t>
        </is>
      </c>
    </row>
    <row r="24">
      <c r="B24" s="17" t="inlineStr">
        <is>
          <t>The eight questions need ___ more joins in total in the snowflake. State what that number does NOT tell you about which schema is faster.</t>
        </is>
      </c>
    </row>
    <row r="25" ht="30" customHeight="1">
      <c r="B25" s="30" t="inlineStr">
        <is>
          <t>The eight questions need 5 more joins in total in the snowflake — and that number tells you nothing about which schema runs faster. Hop count is not query cost: the extra joins hit a 15-row dimension that lives in cache, and real speed depends on data volume, compression, the filter path and the engine. Count, don't assume.</t>
        </is>
      </c>
      <c r="C25" s="41" t="n"/>
      <c r="D25" s="41" t="n"/>
      <c r="E25" s="41" t="n"/>
      <c r="F25" s="41" t="n"/>
      <c r="G25" s="42" t="n"/>
    </row>
    <row r="26">
      <c r="B26" s="43" t="n"/>
      <c r="G26" s="44" t="n"/>
    </row>
    <row r="27">
      <c r="B27" s="45" t="n"/>
      <c r="C27" s="46" t="n"/>
      <c r="D27" s="46" t="n"/>
      <c r="E27" s="46" t="n"/>
      <c r="F27" s="46" t="n"/>
      <c r="G27" s="47" t="n"/>
    </row>
  </sheetData>
  <mergeCells count="8">
    <mergeCell ref="B25:G27"/>
    <mergeCell ref="A1:G1"/>
    <mergeCell ref="A17:G17"/>
    <mergeCell ref="C24:G24"/>
    <mergeCell ref="A21:G21"/>
    <mergeCell ref="A4:G4"/>
    <mergeCell ref="A2:G2"/>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6"/>
  <sheetViews>
    <sheetView showGridLines="0" workbookViewId="0">
      <selection activeCell="A1" sqref="A1"/>
    </sheetView>
  </sheetViews>
  <sheetFormatPr baseColWidth="8" defaultRowHeight="15"/>
  <cols>
    <col width="12" customWidth="1" min="1" max="1"/>
    <col width="22" customWidth="1" min="2" max="2"/>
    <col width="16" customWidth="1" min="3" max="3"/>
    <col width="14" customWidth="1" min="4" max="4"/>
    <col width="12" customWidth="1" min="5" max="5"/>
    <col width="26" customWidth="1" min="6" max="6"/>
    <col width="40" customWidth="1" min="7" max="7"/>
  </cols>
  <sheetData>
    <row r="1" ht="30" customHeight="1">
      <c r="A1" s="1" t="inlineStr">
        <is>
          <t>T2 · Snowflake It, Then Justify It — 15 marks</t>
        </is>
      </c>
    </row>
    <row r="2" ht="30" customHeight="1">
      <c r="A2" s="2" t="inlineStr">
        <is>
          <t>Split the flat DimCity into DimCity → DimProvince → DimCountry. Then say whether PakFreight should actually do it, and why.</t>
        </is>
      </c>
    </row>
    <row r="4" ht="22" customHeight="1">
      <c r="A4" s="3" t="inlineStr">
        <is>
          <t>Part A · DimProvince — the middle table  (5 marks)</t>
        </is>
      </c>
    </row>
    <row r="5" ht="32" customHeight="1">
      <c r="A5" s="14" t="inlineStr">
        <is>
          <t>One row per distinct province, a surrogate key you mint yourself, the Region column moved across from DimCity, and a foreign key up to DimCountry. Include the Unknown member — every dimension gets one, for the reason Week 3 gave.</t>
        </is>
      </c>
    </row>
    <row r="6" ht="32" customHeight="1">
      <c r="A6" s="5" t="inlineStr">
        <is>
          <t>ProvinceKey</t>
        </is>
      </c>
      <c r="B6" s="5" t="inlineStr">
        <is>
          <t>ProvinceName</t>
        </is>
      </c>
      <c r="C6" s="5" t="inlineStr">
        <is>
          <t>RegionName</t>
        </is>
      </c>
      <c r="D6" s="5" t="inlineStr">
        <is>
          <t>CountryKey</t>
        </is>
      </c>
      <c r="E6" s="5" t="inlineStr"/>
      <c r="F6" s="5" t="inlineStr"/>
      <c r="G6" s="5" t="inlineStr"/>
    </row>
    <row r="7">
      <c r="A7" s="27" t="n">
        <v>1</v>
      </c>
      <c r="B7" s="30" t="inlineStr">
        <is>
          <t>Sindh</t>
        </is>
      </c>
      <c r="C7" s="30" t="inlineStr">
        <is>
          <t>South</t>
        </is>
      </c>
      <c r="D7" s="27" t="n">
        <v>1</v>
      </c>
    </row>
    <row r="8">
      <c r="A8" s="27" t="n">
        <v>2</v>
      </c>
      <c r="B8" s="30" t="inlineStr">
        <is>
          <t>Balochistan</t>
        </is>
      </c>
      <c r="C8" s="30" t="inlineStr">
        <is>
          <t>South</t>
        </is>
      </c>
      <c r="D8" s="27" t="n">
        <v>1</v>
      </c>
    </row>
    <row r="9">
      <c r="A9" s="27" t="n">
        <v>3</v>
      </c>
      <c r="B9" s="30" t="inlineStr">
        <is>
          <t>Punjab</t>
        </is>
      </c>
      <c r="C9" s="30" t="inlineStr">
        <is>
          <t>North</t>
        </is>
      </c>
      <c r="D9" s="27" t="n">
        <v>1</v>
      </c>
    </row>
    <row r="10">
      <c r="A10" s="27" t="n">
        <v>4</v>
      </c>
      <c r="B10" s="30" t="inlineStr">
        <is>
          <t>Islamabad ICT</t>
        </is>
      </c>
      <c r="C10" s="30" t="inlineStr">
        <is>
          <t>North</t>
        </is>
      </c>
      <c r="D10" s="27" t="n">
        <v>1</v>
      </c>
    </row>
    <row r="11">
      <c r="A11" s="27" t="n">
        <v>5</v>
      </c>
      <c r="B11" s="30" t="inlineStr">
        <is>
          <t>Khyber Pakhtunkhwa</t>
        </is>
      </c>
      <c r="C11" s="30" t="inlineStr">
        <is>
          <t>North</t>
        </is>
      </c>
      <c r="D11" s="27" t="n">
        <v>1</v>
      </c>
    </row>
    <row r="12">
      <c r="A12" s="27" t="n">
        <v>-1</v>
      </c>
      <c r="B12" s="30" t="inlineStr">
        <is>
          <t>Unknown</t>
        </is>
      </c>
      <c r="C12" s="30" t="inlineStr">
        <is>
          <t>Unknown</t>
        </is>
      </c>
      <c r="D12" s="27" t="n">
        <v>-1</v>
      </c>
    </row>
    <row r="13">
      <c r="B13" s="31" t="inlineStr">
        <is>
          <t>rows, excluding Unknown</t>
        </is>
      </c>
      <c r="C13" s="18">
        <f>COUNTIF(A7:A12,"&gt;0")</f>
        <v/>
      </c>
      <c r="D13" s="6">
        <f>IF(COUNTIF(A7:A12,"&gt;0")=5,"✔ pass","✘ fix")</f>
        <v/>
      </c>
    </row>
    <row r="15" ht="22" customHeight="1">
      <c r="A15" s="3" t="inlineStr">
        <is>
          <t>Part B · DimCountry  (2 marks)</t>
        </is>
      </c>
    </row>
    <row r="16" ht="32" customHeight="1">
      <c r="A16" s="5" t="inlineStr">
        <is>
          <t>CountryKey</t>
        </is>
      </c>
      <c r="B16" s="5" t="inlineStr">
        <is>
          <t>CountryName</t>
        </is>
      </c>
      <c r="C16" s="5" t="inlineStr">
        <is>
          <t>RegionGroup</t>
        </is>
      </c>
      <c r="D16" s="5" t="inlineStr"/>
      <c r="E16" s="5" t="inlineStr"/>
      <c r="F16" s="5" t="inlineStr"/>
      <c r="G16" s="5" t="inlineStr"/>
    </row>
    <row r="17">
      <c r="A17" s="27" t="n">
        <v>1</v>
      </c>
      <c r="B17" s="30" t="inlineStr">
        <is>
          <t>Pakistan</t>
        </is>
      </c>
      <c r="C17" s="30" t="inlineStr">
        <is>
          <t>South Asia</t>
        </is>
      </c>
    </row>
    <row r="18">
      <c r="A18" s="27" t="n">
        <v>-1</v>
      </c>
      <c r="B18" s="30" t="inlineStr">
        <is>
          <t>Unknown</t>
        </is>
      </c>
      <c r="C18" s="30" t="inlineStr">
        <is>
          <t>Unknown</t>
        </is>
      </c>
    </row>
    <row r="19" ht="32" customHeight="1">
      <c r="A19" s="14" t="inlineStr">
        <is>
          <t>Look hard at how many rows this table has, excluding Unknown. A table, a key, a relationship and a join — maintained, indexed and backed up forever — to store one word once. Write the number down; Part D asks about it.</t>
        </is>
      </c>
    </row>
    <row r="21" ht="22" customHeight="1">
      <c r="A21" s="3" t="inlineStr">
        <is>
          <t>Part C · DimCity, with Province and Region removed  (4 marks)</t>
        </is>
      </c>
    </row>
    <row r="22" ht="32" customHeight="1">
      <c r="A22" s="5" t="inlineStr">
        <is>
          <t>CityKey</t>
        </is>
      </c>
      <c r="B22" s="5" t="inlineStr">
        <is>
          <t>CityName</t>
        </is>
      </c>
      <c r="C22" s="5" t="inlineStr">
        <is>
          <t>ProvinceKey</t>
        </is>
      </c>
      <c r="D22" s="5" t="inlineStr">
        <is>
          <t>IsPortCity</t>
        </is>
      </c>
      <c r="E22" s="5" t="inlineStr">
        <is>
          <t>FacilityType</t>
        </is>
      </c>
      <c r="F22" s="5" t="inlineStr"/>
      <c r="G22" s="5" t="inlineStr"/>
    </row>
    <row r="23" ht="15" customHeight="1">
      <c r="A23" s="27" t="n">
        <v>1</v>
      </c>
      <c r="B23" s="30" t="inlineStr">
        <is>
          <t>Karachi</t>
        </is>
      </c>
      <c r="C23" s="27" t="n">
        <v>1</v>
      </c>
      <c r="D23" s="27" t="inlineStr">
        <is>
          <t>Yes</t>
        </is>
      </c>
      <c r="E23" s="30" t="inlineStr">
        <is>
          <t>Sea Port + Rail Hub</t>
        </is>
      </c>
    </row>
    <row r="24" ht="15" customHeight="1">
      <c r="A24" s="27" t="n">
        <v>2</v>
      </c>
      <c r="B24" s="30" t="inlineStr">
        <is>
          <t>Gwadar</t>
        </is>
      </c>
      <c r="C24" s="27" t="n">
        <v>2</v>
      </c>
      <c r="D24" s="27" t="inlineStr">
        <is>
          <t>Yes</t>
        </is>
      </c>
      <c r="E24" s="30" t="inlineStr">
        <is>
          <t>Sea Port</t>
        </is>
      </c>
    </row>
    <row r="25" ht="15" customHeight="1">
      <c r="A25" s="27" t="n">
        <v>3</v>
      </c>
      <c r="B25" s="30" t="inlineStr">
        <is>
          <t>Lahore</t>
        </is>
      </c>
      <c r="C25" s="27" t="n">
        <v>3</v>
      </c>
      <c r="D25" s="27" t="inlineStr">
        <is>
          <t>No</t>
        </is>
      </c>
      <c r="E25" s="30" t="inlineStr">
        <is>
          <t>Dry Port</t>
        </is>
      </c>
    </row>
    <row r="26" ht="15" customHeight="1">
      <c r="A26" s="27" t="n">
        <v>4</v>
      </c>
      <c r="B26" s="30" t="inlineStr">
        <is>
          <t>Multan</t>
        </is>
      </c>
      <c r="C26" s="27" t="n">
        <v>3</v>
      </c>
      <c r="D26" s="27" t="inlineStr">
        <is>
          <t>No</t>
        </is>
      </c>
      <c r="E26" s="30" t="inlineStr">
        <is>
          <t>Inland Depot</t>
        </is>
      </c>
    </row>
    <row r="27" ht="15" customHeight="1">
      <c r="A27" s="27" t="n">
        <v>5</v>
      </c>
      <c r="B27" s="30" t="inlineStr">
        <is>
          <t>Islamabad</t>
        </is>
      </c>
      <c r="C27" s="27" t="n">
        <v>4</v>
      </c>
      <c r="D27" s="27" t="inlineStr">
        <is>
          <t>No</t>
        </is>
      </c>
      <c r="E27" s="30" t="inlineStr">
        <is>
          <t>Dry Port</t>
        </is>
      </c>
    </row>
    <row r="28" ht="15" customHeight="1">
      <c r="A28" s="27" t="n">
        <v>6</v>
      </c>
      <c r="B28" s="30" t="inlineStr">
        <is>
          <t>Quetta</t>
        </is>
      </c>
      <c r="C28" s="27" t="n">
        <v>2</v>
      </c>
      <c r="D28" s="27" t="inlineStr">
        <is>
          <t>No</t>
        </is>
      </c>
      <c r="E28" s="30" t="inlineStr">
        <is>
          <t>Inland Depot</t>
        </is>
      </c>
    </row>
    <row r="29" ht="15" customHeight="1">
      <c r="A29" s="27" t="n">
        <v>7</v>
      </c>
      <c r="B29" s="30" t="inlineStr">
        <is>
          <t>Faisalabad</t>
        </is>
      </c>
      <c r="C29" s="27" t="n">
        <v>3</v>
      </c>
      <c r="D29" s="27" t="inlineStr">
        <is>
          <t>No</t>
        </is>
      </c>
      <c r="E29" s="30" t="inlineStr">
        <is>
          <t>Dry Port</t>
        </is>
      </c>
    </row>
    <row r="30" ht="15" customHeight="1">
      <c r="A30" s="27" t="n">
        <v>8</v>
      </c>
      <c r="B30" s="30" t="inlineStr">
        <is>
          <t>Rawalpindi</t>
        </is>
      </c>
      <c r="C30" s="27" t="n">
        <v>3</v>
      </c>
      <c r="D30" s="27" t="inlineStr">
        <is>
          <t>No</t>
        </is>
      </c>
      <c r="E30" s="30" t="inlineStr">
        <is>
          <t>Rail Hub</t>
        </is>
      </c>
    </row>
    <row r="31" ht="15" customHeight="1">
      <c r="A31" s="27" t="n">
        <v>9</v>
      </c>
      <c r="B31" s="30" t="inlineStr">
        <is>
          <t>Sialkot</t>
        </is>
      </c>
      <c r="C31" s="27" t="n">
        <v>3</v>
      </c>
      <c r="D31" s="27" t="inlineStr">
        <is>
          <t>No</t>
        </is>
      </c>
      <c r="E31" s="30" t="inlineStr">
        <is>
          <t>Dry Port</t>
        </is>
      </c>
    </row>
    <row r="32" ht="15" customHeight="1">
      <c r="A32" s="27" t="n">
        <v>10</v>
      </c>
      <c r="B32" s="30" t="inlineStr">
        <is>
          <t>Peshawar</t>
        </is>
      </c>
      <c r="C32" s="27" t="n">
        <v>5</v>
      </c>
      <c r="D32" s="27" t="inlineStr">
        <is>
          <t>No</t>
        </is>
      </c>
      <c r="E32" s="30" t="inlineStr">
        <is>
          <t>Inland Depot</t>
        </is>
      </c>
    </row>
    <row r="33" ht="15" customHeight="1">
      <c r="A33" s="27" t="n">
        <v>11</v>
      </c>
      <c r="B33" s="30" t="inlineStr">
        <is>
          <t>Hyderabad</t>
        </is>
      </c>
      <c r="C33" s="27" t="n">
        <v>1</v>
      </c>
      <c r="D33" s="27" t="inlineStr">
        <is>
          <t>No</t>
        </is>
      </c>
      <c r="E33" s="30" t="inlineStr">
        <is>
          <t>Inland Depot</t>
        </is>
      </c>
    </row>
    <row r="34" ht="15" customHeight="1">
      <c r="A34" s="27" t="n">
        <v>12</v>
      </c>
      <c r="B34" s="30" t="inlineStr">
        <is>
          <t>Sukkur</t>
        </is>
      </c>
      <c r="C34" s="27" t="n">
        <v>1</v>
      </c>
      <c r="D34" s="27" t="inlineStr">
        <is>
          <t>No</t>
        </is>
      </c>
      <c r="E34" s="30" t="inlineStr">
        <is>
          <t>Inland Depot</t>
        </is>
      </c>
    </row>
    <row r="35" ht="15" customHeight="1">
      <c r="A35" s="27" t="n">
        <v>13</v>
      </c>
      <c r="B35" s="30" t="inlineStr">
        <is>
          <t>Gujranwala</t>
        </is>
      </c>
      <c r="C35" s="27" t="n">
        <v>3</v>
      </c>
      <c r="D35" s="27" t="inlineStr">
        <is>
          <t>No</t>
        </is>
      </c>
      <c r="E35" s="30" t="inlineStr">
        <is>
          <t>Inland Depot</t>
        </is>
      </c>
    </row>
    <row r="36" ht="15" customHeight="1">
      <c r="A36" s="27" t="n">
        <v>14</v>
      </c>
      <c r="B36" s="30" t="inlineStr">
        <is>
          <t>Abbottabad</t>
        </is>
      </c>
      <c r="C36" s="27" t="n">
        <v>5</v>
      </c>
      <c r="D36" s="27" t="inlineStr">
        <is>
          <t>No</t>
        </is>
      </c>
      <c r="E36" s="30" t="inlineStr">
        <is>
          <t>Inland Depot</t>
        </is>
      </c>
    </row>
    <row r="37" ht="15" customHeight="1">
      <c r="A37" s="27" t="n">
        <v>-1</v>
      </c>
      <c r="B37" s="30" t="inlineStr">
        <is>
          <t>Unknown</t>
        </is>
      </c>
      <c r="C37" s="27" t="n">
        <v>-1</v>
      </c>
      <c r="D37" s="27" t="inlineStr">
        <is>
          <t>No</t>
        </is>
      </c>
      <c r="E37" s="30" t="inlineStr">
        <is>
          <t>Unknown</t>
        </is>
      </c>
    </row>
    <row r="38" ht="26" customHeight="1">
      <c r="A38" s="14" t="inlineStr">
        <is>
          <t>Same 15 rows. Two text columns gone, one integer key in their place. Nothing about the business changed — only where the province name is written down.</t>
        </is>
      </c>
    </row>
    <row r="40" ht="22" customHeight="1">
      <c r="A40" s="3" t="inlineStr">
        <is>
          <t>Part D · The verdict  (4 marks — the reason carries them, not the verdict)</t>
        </is>
      </c>
    </row>
    <row r="41">
      <c r="A41" s="19" t="inlineStr">
        <is>
          <t>Should PakFreight snowflake DimCity?</t>
        </is>
      </c>
      <c r="B41" s="32" t="n"/>
      <c r="C41" s="32" t="n"/>
      <c r="D41" s="33" t="n"/>
      <c r="E41" s="27" t="inlineStr">
        <is>
          <t>FLATTEN</t>
        </is>
      </c>
      <c r="F41" s="11" t="inlineStr">
        <is>
          <t>← pick one</t>
        </is>
      </c>
    </row>
    <row r="42" ht="30" customHeight="1">
      <c r="A42" s="30" t="inlineStr">
        <is>
          <t>T1 shows only 4 of 8 questions change (+5 joins on a 15-row dimension that fits in cache), and T3 shows the storage saving is noise (−18 bytes at 15 rows, 0.1% of the fact at 50M rows). The joins cost more than the bytes save — flatten.</t>
        </is>
      </c>
      <c r="B42" s="41" t="n"/>
      <c r="C42" s="41" t="n"/>
      <c r="D42" s="41" t="n"/>
      <c r="E42" s="41" t="n"/>
      <c r="F42" s="41" t="n"/>
      <c r="G42" s="42" t="n"/>
    </row>
    <row r="43">
      <c r="A43" s="43" t="n"/>
      <c r="G43" s="44" t="n"/>
    </row>
    <row r="44">
      <c r="A44" s="43" t="n"/>
      <c r="G44" s="44" t="n"/>
    </row>
    <row r="45">
      <c r="A45" s="45" t="n"/>
      <c r="B45" s="46" t="n"/>
      <c r="C45" s="46" t="n"/>
      <c r="D45" s="46" t="n"/>
      <c r="E45" s="46" t="n"/>
      <c r="F45" s="46" t="n"/>
      <c r="G45" s="47" t="n"/>
    </row>
    <row r="46" ht="30" customHeight="1">
      <c r="A46" s="14" t="inlineStr">
        <is>
          <t>Mark the verdict cell against your own T1 and T3 numbers. If your reason does not cite at least one figure you calculated yourself, it is an opinion and scores accordingly.</t>
        </is>
      </c>
    </row>
  </sheetData>
  <mergeCells count="12">
    <mergeCell ref="A1:G1"/>
    <mergeCell ref="A40:G40"/>
    <mergeCell ref="A21:G21"/>
    <mergeCell ref="A4:G4"/>
    <mergeCell ref="A38:G38"/>
    <mergeCell ref="A2:G2"/>
    <mergeCell ref="A15:G15"/>
    <mergeCell ref="A41:D41"/>
    <mergeCell ref="A42:G45"/>
    <mergeCell ref="A19:G19"/>
    <mergeCell ref="A5:G5"/>
    <mergeCell ref="A46:G46"/>
  </mergeCells>
  <dataValidations count="1">
    <dataValidation sqref="E41" showDropDown="0" showInputMessage="0" showErrorMessage="0" allowBlank="1" type="list">
      <formula1>"Flatten,Snowflake"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cols>
    <col width="16" customWidth="1" min="1" max="1"/>
    <col width="20" customWidth="1" min="2" max="2"/>
    <col width="20" customWidth="1" min="3" max="3"/>
    <col width="18" customWidth="1" min="4" max="4"/>
    <col width="18" customWidth="1" min="5" max="5"/>
    <col width="16" customWidth="1" min="6" max="6"/>
    <col width="40" customWidth="1" min="7" max="7"/>
  </cols>
  <sheetData>
    <row r="1" ht="30" customHeight="1">
      <c r="A1" s="1" t="inlineStr">
        <is>
          <t>T3 · Storage Arithmetic — 12 marks</t>
        </is>
      </c>
    </row>
    <row r="2" ht="30" customHeight="1">
      <c r="A2" s="2" t="inlineStr">
        <is>
          <t>The storage argument is the snowflake's only real win. Work out how big that win actually is, three different ways, and then put it next to something.</t>
        </is>
      </c>
    </row>
    <row r="4" ht="48" customHeight="1">
      <c r="A4" s="4" t="inlineStr">
        <is>
          <t>The model: 2 bytes per character, the way Excel and a columnar dictionary hold text, and 4 bytes per integer key. This is not a byte-exact simulation of a storage engine and it does not need to be — it is enough to settle the argument, which is the point. Count ONLY the province and region information; everything else is identical in both schemas.</t>
        </is>
      </c>
    </row>
    <row r="6" ht="22" customHeight="1">
      <c r="A6" s="3" t="inlineStr">
        <is>
          <t>Part A · The three ways to hold it  (6 marks)</t>
        </is>
      </c>
    </row>
    <row r="8" ht="28" customHeight="1">
      <c r="A8" s="19" t="inlineStr">
        <is>
          <t>Flat, raw</t>
        </is>
      </c>
      <c r="B8" s="22" t="inlineStr">
        <is>
          <t>ProvinceName and RegionName written out as text on every city row. No compression at all — a 1990s row store.</t>
        </is>
      </c>
      <c r="C8" s="32" t="n"/>
      <c r="D8" s="32" t="n"/>
      <c r="E8" s="32" t="n"/>
      <c r="F8" s="32" t="n"/>
      <c r="G8" s="33" t="n"/>
    </row>
    <row r="9" ht="28" customHeight="1">
      <c r="A9" s="19" t="inlineStr">
        <is>
          <t>Flat, encoded</t>
        </is>
      </c>
      <c r="B9" s="22" t="inlineStr">
        <is>
          <t>The same flat table in a columnar engine. Each distinct string stored ONCE in a dictionary, plus a 4-byte pointer per row. Two text columns = two pointers.</t>
        </is>
      </c>
      <c r="C9" s="32" t="n"/>
      <c r="D9" s="32" t="n"/>
      <c r="E9" s="32" t="n"/>
      <c r="F9" s="32" t="n"/>
      <c r="G9" s="33" t="n"/>
    </row>
    <row r="10" ht="28" customHeight="1">
      <c r="A10" s="19" t="inlineStr">
        <is>
          <t>Snowflaked</t>
        </is>
      </c>
      <c r="B10" s="22" t="inlineStr">
        <is>
          <t>One 4-byte ProvinceKey per city row, plus DimProvince itself (names, regions and its own two keys). Count DimProvince — forgetting it is the trap.</t>
        </is>
      </c>
      <c r="C10" s="32" t="n"/>
      <c r="D10" s="32" t="n"/>
      <c r="E10" s="32" t="n"/>
      <c r="F10" s="32" t="n"/>
      <c r="G10" s="33" t="n"/>
    </row>
    <row r="12" ht="32" customHeight="1">
      <c r="A12" s="5" t="inlineStr">
        <is>
          <t>Rows in DimCity</t>
        </is>
      </c>
      <c r="B12" s="5" t="inlineStr">
        <is>
          <t>Flat, raw (bytes)</t>
        </is>
      </c>
      <c r="C12" s="5" t="inlineStr">
        <is>
          <t>Flat, encoded (bytes)</t>
        </is>
      </c>
      <c r="D12" s="5" t="inlineStr">
        <is>
          <t>Snowflaked (bytes)</t>
        </is>
      </c>
      <c r="E12" s="5" t="inlineStr">
        <is>
          <t>Saving (encoded − snow)</t>
        </is>
      </c>
      <c r="F12" s="5" t="inlineStr">
        <is>
          <t>Snow smaller?</t>
        </is>
      </c>
      <c r="G12" s="5" t="inlineStr">
        <is>
          <t>What this row tells you</t>
        </is>
      </c>
    </row>
    <row r="13" ht="22" customHeight="1">
      <c r="A13" s="34" t="n">
        <v>15</v>
      </c>
      <c r="B13" s="35" t="n">
        <v>412</v>
      </c>
      <c r="C13" s="35" t="n">
        <v>274</v>
      </c>
      <c r="D13" s="35" t="n">
        <v>292</v>
      </c>
      <c r="E13" s="36">
        <f>IF(C13="","",C13-D13)</f>
        <v/>
      </c>
      <c r="F13" s="18">
        <f>IF(E13="","",IF(E13&gt;0,"yes","NO — bigger!"))</f>
        <v/>
      </c>
      <c r="G13" s="28" t="inlineStr">
        <is>
          <t>At 15 rows the snowflake is BIGGER by 18 bytes — the trap row</t>
        </is>
      </c>
    </row>
    <row r="14" ht="22" customHeight="1">
      <c r="A14" s="34" t="n">
        <v>1000</v>
      </c>
      <c r="B14" s="35" t="n">
        <v>27467</v>
      </c>
      <c r="C14" s="35" t="n">
        <v>8154</v>
      </c>
      <c r="D14" s="35" t="n">
        <v>4232</v>
      </c>
      <c r="E14" s="36">
        <f>IF(C14="","",C14-D14)</f>
        <v/>
      </c>
      <c r="F14" s="18">
        <f>IF(E14="","",IF(E14&gt;0,"yes","NO — bigger!"))</f>
        <v/>
      </c>
      <c r="G14" s="28" t="inlineStr">
        <is>
          <t>Saving turns positive, but still trivial in absolute bytes</t>
        </is>
      </c>
    </row>
    <row r="15" ht="22" customHeight="1">
      <c r="A15" s="34" t="n">
        <v>100000</v>
      </c>
      <c r="B15" s="35" t="n">
        <v>2746667</v>
      </c>
      <c r="C15" s="35" t="n">
        <v>800154</v>
      </c>
      <c r="D15" s="35" t="n">
        <v>400232</v>
      </c>
      <c r="E15" s="36">
        <f>IF(C15="","",C15-D15)</f>
        <v/>
      </c>
      <c r="F15" s="18">
        <f>IF(E15="","",IF(E15&gt;0,"yes","NO — bigger!"))</f>
        <v/>
      </c>
      <c r="G15" s="28" t="inlineStr">
        <is>
          <t>Saving grows linearly: 4 bytes per row once encoded</t>
        </is>
      </c>
    </row>
    <row r="16" ht="22" customHeight="1">
      <c r="A16" s="34" t="n">
        <v>5000000</v>
      </c>
      <c r="B16" s="35" t="n">
        <v>137333333</v>
      </c>
      <c r="C16" s="35" t="n">
        <v>40000154</v>
      </c>
      <c r="D16" s="35" t="n">
        <v>20000232</v>
      </c>
      <c r="E16" s="36">
        <f>IF(C16="","",C16-D16)</f>
        <v/>
      </c>
      <c r="F16" s="18">
        <f>IF(E16="","",IF(E16&gt;0,"yes","NO — bigger!"))</f>
        <v/>
      </c>
      <c r="G16" s="28" t="inlineStr">
        <is>
          <t>≈20 MB saved on the dimension alone</t>
        </is>
      </c>
    </row>
    <row r="17" ht="22" customHeight="1">
      <c r="A17" s="34" t="n">
        <v>50000000</v>
      </c>
      <c r="B17" s="35" t="n">
        <v>1373333333</v>
      </c>
      <c r="C17" s="35" t="n">
        <v>400000154</v>
      </c>
      <c r="D17" s="35" t="n">
        <v>200000232</v>
      </c>
      <c r="E17" s="36">
        <f>IF(C17="","",C17-D17)</f>
        <v/>
      </c>
      <c r="F17" s="18">
        <f>IF(E17="","",IF(E17&gt;0,"yes","NO — bigger!"))</f>
        <v/>
      </c>
      <c r="G17" s="28" t="inlineStr">
        <is>
          <t>≈200 MB saved — finally a real number, still 0.1% of fact</t>
        </is>
      </c>
    </row>
    <row r="19" ht="22" customHeight="1">
      <c r="A19" s="3" t="inlineStr">
        <is>
          <t>Part B · The finding  (3 marks)</t>
        </is>
      </c>
    </row>
    <row r="20">
      <c r="A20" s="20" t="inlineStr">
        <is>
          <t>At 15 rows, is the snowflake smaller?</t>
        </is>
      </c>
      <c r="B20" s="32" t="n"/>
      <c r="C20" s="33" t="n"/>
      <c r="D20" s="27" t="inlineStr">
        <is>
          <t>No — BIGGER by 18 bytes</t>
        </is>
      </c>
      <c r="E20" s="6">
        <f>IF(E13&lt;0=TRUE,"✔ pass","✘ fix")</f>
        <v/>
      </c>
      <c r="G20" s="11" t="inlineStr">
        <is>
          <t>DimProvince has to be paid for before it saves anything</t>
        </is>
      </c>
    </row>
    <row r="21">
      <c r="A21" s="20" t="inlineStr">
        <is>
          <t>Once encoded, the saving per city row is exactly:</t>
        </is>
      </c>
      <c r="B21" s="32" t="n"/>
      <c r="C21" s="33" t="n"/>
      <c r="D21" s="27" t="n">
        <v>4</v>
      </c>
      <c r="E21" s="11" t="inlineStr">
        <is>
          <t>bytes</t>
        </is>
      </c>
      <c r="G21" s="11" t="inlineStr">
        <is>
          <t>two pointers become one — that is the entire mechanism</t>
        </is>
      </c>
    </row>
    <row r="23" ht="22" customHeight="1">
      <c r="A23" s="3" t="inlineStr">
        <is>
          <t>Part C · Put it in context  (3 marks)</t>
        </is>
      </c>
    </row>
    <row r="24" ht="32" customHeight="1">
      <c r="A24" s="14" t="inlineStr">
        <is>
          <t>A fact table in a real warehouse runs roughly 100 times its dimensions, at about 40 bytes a row. Express the snowflake's saving as a percentage of THAT, at both ends of the table above. Then answer the question underneath.</t>
        </is>
      </c>
    </row>
    <row r="25" ht="32" customHeight="1">
      <c r="A25" s="5" t="inlineStr">
        <is>
          <t>Rows in DimCity</t>
        </is>
      </c>
      <c r="B25" s="5" t="inlineStr">
        <is>
          <t>Saving (bytes)</t>
        </is>
      </c>
      <c r="C25" s="5" t="inlineStr">
        <is>
          <t>Fact table bytes</t>
        </is>
      </c>
      <c r="D25" s="5" t="inlineStr">
        <is>
          <t>Saving as % of fact</t>
        </is>
      </c>
      <c r="E25" s="5" t="inlineStr"/>
      <c r="F25" s="5" t="inlineStr">
        <is>
          <t>Check</t>
        </is>
      </c>
      <c r="G25" s="5" t="inlineStr"/>
    </row>
    <row r="26">
      <c r="A26" s="34" t="n">
        <v>15</v>
      </c>
      <c r="B26" s="35" t="n">
        <v>-18</v>
      </c>
      <c r="C26" s="35" t="n">
        <v>60000</v>
      </c>
      <c r="D26" s="37" t="n">
        <v>-0.03</v>
      </c>
      <c r="F26" s="6">
        <f>IF(ABS(D26)&lt;1=TRUE,"✔ pass","✘ fix")</f>
        <v/>
      </c>
      <c r="G26" s="11" t="inlineStr"/>
    </row>
    <row r="27">
      <c r="A27" s="34" t="n">
        <v>50000000</v>
      </c>
      <c r="B27" s="35" t="n">
        <v>199999922</v>
      </c>
      <c r="C27" s="35" t="n">
        <v>200000000000</v>
      </c>
      <c r="D27" s="37" t="n">
        <v>0.1</v>
      </c>
      <c r="F27" s="6">
        <f>IF(ABS(D27)&lt;1=TRUE,"✔ pass","✘ fix")</f>
        <v/>
      </c>
      <c r="G27" s="11" t="inlineStr"/>
    </row>
    <row r="29" ht="20" customHeight="1">
      <c r="A29" s="19" t="inlineStr">
        <is>
          <t>So: name the one condition under which the storage argument for snowflaking is actually worth paying a join for.</t>
        </is>
      </c>
      <c r="B29" s="32" t="n"/>
      <c r="C29" s="32" t="n"/>
      <c r="D29" s="32" t="n"/>
      <c r="E29" s="32" t="n"/>
      <c r="F29" s="32" t="n"/>
      <c r="G29" s="33" t="n"/>
    </row>
    <row r="30" ht="30" customHeight="1">
      <c r="A30" s="30" t="inlineStr">
        <is>
          <t>Wide, high-cardinality text that will not dictionary-compress, on a large dimension — or any row store where the dictionary does not exist. That is the only condition.</t>
        </is>
      </c>
      <c r="B30" s="41" t="n"/>
      <c r="C30" s="41" t="n"/>
      <c r="D30" s="41" t="n"/>
      <c r="E30" s="41" t="n"/>
      <c r="F30" s="41" t="n"/>
      <c r="G30" s="42" t="n"/>
    </row>
    <row r="31">
      <c r="A31" s="43" t="n"/>
      <c r="G31" s="44" t="n"/>
    </row>
    <row r="32">
      <c r="A32" s="45" t="n"/>
      <c r="B32" s="46" t="n"/>
      <c r="C32" s="46" t="n"/>
      <c r="D32" s="46" t="n"/>
      <c r="E32" s="46" t="n"/>
      <c r="F32" s="46" t="n"/>
      <c r="G32" s="47" t="n"/>
    </row>
  </sheetData>
  <mergeCells count="14">
    <mergeCell ref="B10:G10"/>
    <mergeCell ref="A1:G1"/>
    <mergeCell ref="A30:G32"/>
    <mergeCell ref="A6:G6"/>
    <mergeCell ref="B9:G9"/>
    <mergeCell ref="A4:G4"/>
    <mergeCell ref="B8:G8"/>
    <mergeCell ref="A24:G24"/>
    <mergeCell ref="A2:G2"/>
    <mergeCell ref="A21:C21"/>
    <mergeCell ref="A29:G29"/>
    <mergeCell ref="A19:G19"/>
    <mergeCell ref="A20:C20"/>
    <mergeCell ref="A23:G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5" customWidth="1" min="1" max="1"/>
    <col width="28" customWidth="1" min="2" max="2"/>
    <col width="32" customWidth="1" min="3" max="3"/>
    <col width="14" customWidth="1" min="4" max="4"/>
    <col width="14" customWidth="1" min="5" max="5"/>
    <col width="11" customWidth="1" min="6" max="6"/>
    <col width="44" customWidth="1" min="7" max="7"/>
  </cols>
  <sheetData>
    <row r="1" ht="30" customHeight="1">
      <c r="A1" s="1" t="inlineStr">
        <is>
          <t>T4 · Relationship Register — 20 marks</t>
        </is>
      </c>
    </row>
    <row r="2" ht="30" customHeight="1">
      <c r="A2" s="2" t="inlineStr">
        <is>
          <t>Specify all six relationships here BEFORE Power BI opens. This is the sheet the lab is graded against, and filling it in afterwards defeats the entire point.</t>
        </is>
      </c>
    </row>
    <row r="4" ht="40" customHeight="1">
      <c r="A4" s="4" t="inlineStr">
        <is>
          <t>One row per relationship. The “one” side is always the dimension and the “many” side is always the fact. Write the columns as Table[Column]. Exactly one of these six cannot be active — find it before Power BI tells you.</t>
        </is>
      </c>
    </row>
    <row r="6" ht="32" customHeight="1">
      <c r="A6" s="5" t="inlineStr">
        <is>
          <t>#</t>
        </is>
      </c>
      <c r="B6" s="5" t="inlineStr">
        <is>
          <t>One side (dimension)</t>
        </is>
      </c>
      <c r="C6" s="5" t="inlineStr">
        <is>
          <t>Many side (fact)</t>
        </is>
      </c>
      <c r="D6" s="5" t="inlineStr">
        <is>
          <t>Cardinality</t>
        </is>
      </c>
      <c r="E6" s="5" t="inlineStr">
        <is>
          <t>Cross-filter</t>
        </is>
      </c>
      <c r="F6" s="5" t="inlineStr">
        <is>
          <t>Active?</t>
        </is>
      </c>
      <c r="G6" s="5" t="inlineStr">
        <is>
          <t>Why this relationship exists</t>
        </is>
      </c>
    </row>
    <row r="7" ht="30" customHeight="1">
      <c r="A7" s="6" t="n">
        <v>1</v>
      </c>
      <c r="B7" s="26" t="inlineStr">
        <is>
          <t>DimDate[DateKey]</t>
        </is>
      </c>
      <c r="C7" s="26" t="inlineStr">
        <is>
          <t>FactShipment[DateKey]</t>
        </is>
      </c>
      <c r="D7" s="27" t="inlineStr">
        <is>
          <t>* : 1</t>
        </is>
      </c>
      <c r="E7" s="27" t="inlineStr">
        <is>
          <t>Single</t>
        </is>
      </c>
      <c r="F7" s="27" t="inlineStr">
        <is>
          <t>Yes</t>
        </is>
      </c>
      <c r="G7" s="28" t="inlineStr">
        <is>
          <t>Dates the shipment leg — the time dimension every report filters by</t>
        </is>
      </c>
    </row>
    <row r="8" ht="30" customHeight="1">
      <c r="A8" s="6" t="n">
        <v>2</v>
      </c>
      <c r="B8" s="26" t="inlineStr">
        <is>
          <t>DimCity[CityKey]</t>
        </is>
      </c>
      <c r="C8" s="26" t="inlineStr">
        <is>
          <t>FactShipment[OriginCityKey]</t>
        </is>
      </c>
      <c r="D8" s="27" t="inlineStr">
        <is>
          <t>* : 1</t>
        </is>
      </c>
      <c r="E8" s="27" t="inlineStr">
        <is>
          <t>Single</t>
        </is>
      </c>
      <c r="F8" s="27" t="inlineStr">
        <is>
          <t>Yes</t>
        </is>
      </c>
      <c r="G8" s="28" t="inlineStr">
        <is>
          <t>Origin role: where each leg started</t>
        </is>
      </c>
    </row>
    <row r="9" ht="30" customHeight="1">
      <c r="A9" s="6" t="n">
        <v>3</v>
      </c>
      <c r="B9" s="26" t="inlineStr">
        <is>
          <t>DimCity[CityKey]</t>
        </is>
      </c>
      <c r="C9" s="26" t="inlineStr">
        <is>
          <t>FactShipment[DestCityKey]</t>
        </is>
      </c>
      <c r="D9" s="27" t="inlineStr">
        <is>
          <t>* : 1</t>
        </is>
      </c>
      <c r="E9" s="27" t="inlineStr">
        <is>
          <t>Single</t>
        </is>
      </c>
      <c r="F9" s="27" t="inlineStr">
        <is>
          <t>No</t>
        </is>
      </c>
      <c r="G9" s="28" t="inlineStr">
        <is>
          <t>Destination role: where each leg ended — inactive; one dimension cannot have two active paths to the same fact</t>
        </is>
      </c>
    </row>
    <row r="10" ht="30" customHeight="1">
      <c r="A10" s="6" t="n">
        <v>4</v>
      </c>
      <c r="B10" s="26" t="inlineStr">
        <is>
          <t>DimRoute[RouteKey]</t>
        </is>
      </c>
      <c r="C10" s="26" t="inlineStr">
        <is>
          <t>FactShipment[RouteKey]</t>
        </is>
      </c>
      <c r="D10" s="27" t="inlineStr">
        <is>
          <t>* : 1</t>
        </is>
      </c>
      <c r="E10" s="27" t="inlineStr">
        <is>
          <t>Single</t>
        </is>
      </c>
      <c r="F10" s="27" t="inlineStr">
        <is>
          <t>Yes</t>
        </is>
      </c>
      <c r="G10" s="28" t="inlineStr">
        <is>
          <t>The corridor each leg ran on</t>
        </is>
      </c>
    </row>
    <row r="11" ht="30" customHeight="1">
      <c r="A11" s="6" t="n">
        <v>5</v>
      </c>
      <c r="B11" s="26" t="inlineStr">
        <is>
          <t>DimMode[ModeKey]</t>
        </is>
      </c>
      <c r="C11" s="26" t="inlineStr">
        <is>
          <t>FactShipment[ModeKey]</t>
        </is>
      </c>
      <c r="D11" s="27" t="inlineStr">
        <is>
          <t>* : 1</t>
        </is>
      </c>
      <c r="E11" s="27" t="inlineStr">
        <is>
          <t>Single</t>
        </is>
      </c>
      <c r="F11" s="27" t="inlineStr">
        <is>
          <t>Yes</t>
        </is>
      </c>
      <c r="G11" s="28" t="inlineStr">
        <is>
          <t>How each leg moved — marine, rail or road</t>
        </is>
      </c>
    </row>
    <row r="12" ht="30" customHeight="1">
      <c r="A12" s="6" t="n">
        <v>6</v>
      </c>
      <c r="B12" s="26" t="inlineStr">
        <is>
          <t>DimStatus[StatusKey]</t>
        </is>
      </c>
      <c r="C12" s="26" t="inlineStr">
        <is>
          <t>FactShipment[StatusKey]</t>
        </is>
      </c>
      <c r="D12" s="27" t="inlineStr">
        <is>
          <t>* : 1</t>
        </is>
      </c>
      <c r="E12" s="27" t="inlineStr">
        <is>
          <t>Single</t>
        </is>
      </c>
      <c r="F12" s="27" t="inlineStr">
        <is>
          <t>Yes</t>
        </is>
      </c>
      <c r="G12" s="28" t="inlineStr">
        <is>
          <t>Whether each leg delivered, is in transit, or delayed</t>
        </is>
      </c>
    </row>
    <row r="14" ht="22" customHeight="1">
      <c r="A14" s="3" t="inlineStr">
        <is>
          <t>Self-check — five checks, and they are five of the twenty marks</t>
        </is>
      </c>
    </row>
    <row r="15">
      <c r="B15" s="7" t="inlineStr">
        <is>
          <t>Relationships specified</t>
        </is>
      </c>
      <c r="D15" s="18">
        <f>COUNTA(B7:B12)</f>
        <v/>
      </c>
      <c r="E15" s="6">
        <f>IF(COUNTA(B7:B12)=6,"✔ pass","✘ fix")</f>
        <v/>
      </c>
      <c r="F15" s="10" t="n">
        <v>6</v>
      </c>
      <c r="G15" s="11" t="inlineStr">
        <is>
          <t>expected</t>
        </is>
      </c>
    </row>
    <row r="16">
      <c r="B16" s="7" t="inlineStr">
        <is>
          <t>Cardinality * : 1</t>
        </is>
      </c>
      <c r="D16" s="18">
        <f>COUNTIF(D7:D12,"* : 1")</f>
        <v/>
      </c>
      <c r="E16" s="6">
        <f>IF(COUNTIF(D7:D12,"* : 1")=6,"✔ pass","✘ fix")</f>
        <v/>
      </c>
      <c r="F16" s="10" t="n">
        <v>6</v>
      </c>
      <c r="G16" s="11" t="inlineStr">
        <is>
          <t>expected</t>
        </is>
      </c>
    </row>
    <row r="17">
      <c r="B17" s="7" t="inlineStr">
        <is>
          <t>Cross-filter Single</t>
        </is>
      </c>
      <c r="D17" s="18">
        <f>COUNTIF(E7:E12,"Single")</f>
        <v/>
      </c>
      <c r="E17" s="6">
        <f>IF(COUNTIF(E7:E12,"Single")=6,"✔ pass","✘ fix")</f>
        <v/>
      </c>
      <c r="F17" s="10" t="n">
        <v>6</v>
      </c>
      <c r="G17" s="11" t="inlineStr">
        <is>
          <t>expected</t>
        </is>
      </c>
    </row>
    <row r="18">
      <c r="B18" s="7" t="inlineStr">
        <is>
          <t>Active = Yes</t>
        </is>
      </c>
      <c r="D18" s="18">
        <f>COUNTIF(F7:F12,"Yes")</f>
        <v/>
      </c>
      <c r="E18" s="6">
        <f>IF(COUNTIF(F7:F12,"Yes")=5,"✔ pass","✘ fix")</f>
        <v/>
      </c>
      <c r="F18" s="10" t="n">
        <v>5</v>
      </c>
      <c r="G18" s="11" t="inlineStr">
        <is>
          <t>expected</t>
        </is>
      </c>
    </row>
    <row r="19">
      <c r="B19" s="7" t="inlineStr">
        <is>
          <t>Active = No</t>
        </is>
      </c>
      <c r="D19" s="18">
        <f>COUNTIF(F7:F12,"No")</f>
        <v/>
      </c>
      <c r="E19" s="6">
        <f>IF(COUNTIF(F7:F12,"No")=1,"✔ pass","✘ fix")</f>
        <v/>
      </c>
      <c r="F19" s="10" t="n">
        <v>1</v>
      </c>
      <c r="G19" s="11" t="inlineStr">
        <is>
          <t>expected</t>
        </is>
      </c>
    </row>
    <row r="21" ht="22" customHeight="1">
      <c r="A21" s="3" t="inlineStr">
        <is>
          <t>Part B · The two city roles  (6 marks)</t>
        </is>
      </c>
    </row>
    <row r="22" ht="32" customHeight="1">
      <c r="A22" s="14" t="inlineStr">
        <is>
          <t>FactShipment has OriginCityKey and DestCityKey and both point at DimCity. Name which of the three answers from the lecture you are using, and why. Any of the three earns full marks with a sound reason; none earns full marks without one.</t>
        </is>
      </c>
    </row>
    <row r="23">
      <c r="A23" s="19" t="inlineStr">
        <is>
          <t>Answer chosen</t>
        </is>
      </c>
      <c r="B23" s="32" t="n"/>
      <c r="C23" s="33" t="n"/>
      <c r="D23" s="27" t="inlineStr">
        <is>
          <t>1</t>
        </is>
      </c>
      <c r="E23" s="33" t="n"/>
    </row>
    <row r="24" ht="30" customHeight="1">
      <c r="A24" s="30" t="inlineStr">
        <is>
          <t>One physical model, no duplicated dimension: destination analysis goes through explicit measures (like Week 3's Weight to Destination) so every destination number is traceable to the inactive relationship it activates.</t>
        </is>
      </c>
      <c r="B24" s="41" t="n"/>
      <c r="C24" s="41" t="n"/>
      <c r="D24" s="41" t="n"/>
      <c r="E24" s="41" t="n"/>
      <c r="F24" s="41" t="n"/>
      <c r="G24" s="42" t="n"/>
    </row>
    <row r="25">
      <c r="A25" s="43" t="n"/>
      <c r="G25" s="44" t="n"/>
    </row>
    <row r="26">
      <c r="A26" s="45" t="n"/>
      <c r="B26" s="46" t="n"/>
      <c r="C26" s="46" t="n"/>
      <c r="D26" s="46" t="n"/>
      <c r="E26" s="46" t="n"/>
      <c r="F26" s="46" t="n"/>
      <c r="G26" s="47" t="n"/>
    </row>
  </sheetData>
  <mergeCells count="9">
    <mergeCell ref="A14:G14"/>
    <mergeCell ref="A1:G1"/>
    <mergeCell ref="A23:C23"/>
    <mergeCell ref="A21:G21"/>
    <mergeCell ref="A22:G22"/>
    <mergeCell ref="A4:G4"/>
    <mergeCell ref="D23:E23"/>
    <mergeCell ref="A2:G2"/>
    <mergeCell ref="A24:G26"/>
  </mergeCells>
  <dataValidations count="4">
    <dataValidation sqref="D7:D12" showDropDown="0" showInputMessage="0" showErrorMessage="0" allowBlank="1" type="list">
      <formula1>"* : 1,1 : 1,* : *"</formula1>
    </dataValidation>
    <dataValidation sqref="E7:E12" showDropDown="0" showInputMessage="0" showErrorMessage="0" allowBlank="1" type="list">
      <formula1>"Single,Both"</formula1>
    </dataValidation>
    <dataValidation sqref="F7:F12" showDropDown="0" showInputMessage="0" showErrorMessage="0" allowBlank="1" type="list">
      <formula1>"Yes,No"</formula1>
    </dataValidation>
    <dataValidation sqref="D23" showDropDown="0" showInputMessage="0" showErrorMessage="0" allowBlank="1" type="list">
      <formula1>"1 - activate per measure,2 - role-playing tables,3 - flatten onto the fact"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5" customWidth="1" min="1" max="1"/>
    <col width="56" customWidth="1" min="2" max="2"/>
    <col width="18" customWidth="1" min="3" max="3"/>
    <col width="60" customWidth="1" min="4" max="4"/>
    <col width="10" customWidth="1" min="5" max="5"/>
    <col width="10" customWidth="1" min="6" max="6"/>
    <col width="10" customWidth="1" min="7" max="7"/>
  </cols>
  <sheetData>
    <row r="1" ht="30" customHeight="1">
      <c r="A1" s="1" t="inlineStr">
        <is>
          <t>T5 · Cross-Filter Direction — 12 marks</t>
        </is>
      </c>
    </row>
    <row r="2" ht="30" customHeight="1">
      <c r="A2" s="2" t="inlineStr">
        <is>
          <t>Six situations. For each: Single, Both, or solve it at measure level instead. One mark for the verdict, one for the reason.</t>
        </is>
      </c>
    </row>
    <row r="4" ht="40" customHeight="1">
      <c r="A4" s="4" t="inlineStr">
        <is>
          <t>Only ONE of these six is a genuine case for changing anything, and even that one is solved inside a measure rather than in the model. If you have written Both more than once, read slide 29 again — the question is not whether Both works, it is what else it changes.</t>
        </is>
      </c>
    </row>
    <row r="6" ht="32" customHeight="1">
      <c r="A6" s="5" t="inlineStr">
        <is>
          <t>#</t>
        </is>
      </c>
      <c r="B6" s="5" t="inlineStr">
        <is>
          <t>Situation</t>
        </is>
      </c>
      <c r="C6" s="5" t="inlineStr">
        <is>
          <t>Your verdict</t>
        </is>
      </c>
      <c r="D6" s="5" t="inlineStr">
        <is>
          <t>Why — and what breaks if you get it wrong</t>
        </is>
      </c>
      <c r="E6" s="5" t="inlineStr"/>
      <c r="F6" s="5" t="inlineStr"/>
      <c r="G6" s="5" t="inlineStr"/>
    </row>
    <row r="7" ht="42" customHeight="1">
      <c r="A7" s="6" t="n">
        <v>1</v>
      </c>
      <c r="B7" s="17" t="inlineStr">
        <is>
          <t>A slicer on DimMode must filter the shipment totals on every visual.</t>
        </is>
      </c>
      <c r="C7" s="27" t="inlineStr">
        <is>
          <t>Single</t>
        </is>
      </c>
      <c r="D7" s="30" t="inlineStr">
        <is>
          <t>Filter flows dimension → fact; a Mode slicer filters every visual through the single active relationship.</t>
        </is>
      </c>
    </row>
    <row r="8" ht="42" customHeight="1">
      <c r="A8" s="6" t="n">
        <v>2</v>
      </c>
      <c r="B8" s="17" t="inlineStr">
        <is>
          <t>DimCity and DimMode are both set to Both. Power BI refuses the second relationship.</t>
        </is>
      </c>
      <c r="C8" s="27" t="inlineStr">
        <is>
          <t>Single</t>
        </is>
      </c>
      <c r="D8" s="30" t="inlineStr">
        <is>
          <t>Both on two dimensions creates ambiguity — Power BI blocks the second. Set both back to Single; the model was correct before.</t>
        </is>
      </c>
    </row>
    <row r="9" ht="42" customHeight="1">
      <c r="A9" s="6" t="n">
        <v>3</v>
      </c>
      <c r="B9" s="17" t="inlineStr">
        <is>
          <t>A slicer on DimCity should grey out transport modes never used from that city.</t>
        </is>
      </c>
      <c r="C9" s="27" t="inlineStr">
        <is>
          <t>Measure-level</t>
        </is>
      </c>
      <c r="D9" s="30" t="inlineStr">
        <is>
          <t>Keep the model Single; use visual-level "show items with no data" so unused modes grey out without a Both relationship.</t>
        </is>
      </c>
    </row>
    <row r="10" ht="42" customHeight="1">
      <c r="A10" s="6" t="n">
        <v>4</v>
      </c>
      <c r="B10" s="17" t="inlineStr">
        <is>
          <t>You want a card showing how many cities appear in FactShipment at all.</t>
        </is>
      </c>
      <c r="C10" s="27" t="inlineStr">
        <is>
          <t>Measure-level</t>
        </is>
      </c>
      <c r="D10" s="30" t="inlineStr">
        <is>
          <t>DISTINCTCOUNT(FactShipment[OriginCityKey]) — a measure answers it; no model change needed.</t>
        </is>
      </c>
    </row>
    <row r="11" ht="42" customHeight="1">
      <c r="A11" s="6" t="n">
        <v>5</v>
      </c>
      <c r="B11" s="17" t="inlineStr">
        <is>
          <t>Row-level security restricts users to their own province.</t>
        </is>
      </c>
      <c r="C11" s="27" t="inlineStr">
        <is>
          <t>Single</t>
        </is>
      </c>
      <c r="D11" s="30" t="inlineStr">
        <is>
          <t>RLS filters flow dimension → fact under Single; Both would let fact filters leak back into the dimension.</t>
        </is>
      </c>
    </row>
    <row r="12" ht="42" customHeight="1">
      <c r="A12" s="6" t="n">
        <v>6</v>
      </c>
      <c r="B12" s="17" t="inlineStr">
        <is>
          <t>A second fact table, FactFuelSpend, shares DimCity and DimDate.</t>
        </is>
      </c>
      <c r="C12" s="27" t="inlineStr">
        <is>
          <t>Single</t>
        </is>
      </c>
      <c r="D12" s="30" t="inlineStr">
        <is>
          <t>Two facts sharing dimensions must both stay Single — Both would create ambiguous filter paths between the facts.</t>
        </is>
      </c>
    </row>
    <row r="14" ht="22" customHeight="1">
      <c r="A14" s="3" t="inlineStr">
        <is>
          <t>Self-check</t>
        </is>
      </c>
    </row>
    <row r="15">
      <c r="B15" s="7" t="inlineStr">
        <is>
          <t>Verdicts of Single</t>
        </is>
      </c>
      <c r="C15" s="18">
        <f>COUNTIF(C7:C12,"Single")</f>
        <v/>
      </c>
      <c r="D15" s="6">
        <f>IF(COUNTIF(C7:C12,"Single")=4,"✔ pass","✘ fix")</f>
        <v/>
      </c>
    </row>
    <row r="16">
      <c r="B16" s="7" t="inlineStr">
        <is>
          <t>Verdicts of Measure-level</t>
        </is>
      </c>
      <c r="C16" s="18">
        <f>COUNTIF(C7:C12,"Measure-level")</f>
        <v/>
      </c>
      <c r="D16" s="6">
        <f>IF(COUNTIF(C7:C12,"Measure-level")=2,"✔ pass","✘ fix")</f>
        <v/>
      </c>
    </row>
    <row r="17">
      <c r="B17" s="7" t="inlineStr">
        <is>
          <t>Verdicts of Both</t>
        </is>
      </c>
      <c r="C17" s="18">
        <f>COUNTIF(C7:C12,"Both")</f>
        <v/>
      </c>
      <c r="D17" s="6">
        <f>IF(COUNTIF(C7:C12,"Both")=0,"✔ pass","✘ fix")</f>
        <v/>
      </c>
    </row>
    <row r="18" ht="32" customHeight="1">
      <c r="A18" s="14" t="inlineStr">
        <is>
          <t>Yes — the expected number of Both verdicts is 0. Both is not forbidden and it is the right answer to a small number of real modelling problems. It is the wrong answer to all six of these, which is the point of the exercise.</t>
        </is>
      </c>
    </row>
  </sheetData>
  <mergeCells count="5">
    <mergeCell ref="A14:G14"/>
    <mergeCell ref="A1:G1"/>
    <mergeCell ref="A18:G18"/>
    <mergeCell ref="A4:G4"/>
    <mergeCell ref="A2:G2"/>
  </mergeCells>
  <dataValidations count="1">
    <dataValidation sqref="C7:C12" showDropDown="0" showInputMessage="0" showErrorMessage="0" allowBlank="1" type="list">
      <formula1>"Single,Both,Measure-level"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5" customWidth="1" min="1" max="1"/>
    <col width="54" customWidth="1" min="2" max="2"/>
    <col width="16" customWidth="1" min="3" max="3"/>
    <col width="14" customWidth="1" min="4" max="4"/>
    <col width="58" customWidth="1" min="5" max="5"/>
    <col width="10" customWidth="1" min="6" max="6"/>
    <col width="10" customWidth="1" min="7" max="7"/>
  </cols>
  <sheetData>
    <row r="1" ht="30" customHeight="1">
      <c r="A1" s="1" t="inlineStr">
        <is>
          <t>T6 · When To Snowflake — 12 marks</t>
        </is>
      </c>
    </row>
    <row r="2" ht="30" customHeight="1">
      <c r="A2" s="2" t="inlineStr">
        <is>
          <t>Six scenarios against the four legitimate cases. Flatten, Snowflake or Bridge — and when you say Snowflake, name which of the four cases it is.</t>
        </is>
      </c>
    </row>
    <row r="4" ht="48" customHeight="1">
      <c r="A4" s="4" t="inlineStr">
        <is>
          <t>The four cases: 1 a genuine outrigger (a dimension at a different grain) · 2 a huge dimension with wide high-cardinality text · 3 a sub-dimension owned elsewhere on a different load cadence · 4 a multi-valued attribute, which needs a bridge and is not strictly a snowflake at all. Anything that is not one of these four gets flattened.</t>
        </is>
      </c>
    </row>
    <row r="6" ht="32" customHeight="1">
      <c r="A6" s="5" t="inlineStr">
        <is>
          <t>#</t>
        </is>
      </c>
      <c r="B6" s="5" t="inlineStr">
        <is>
          <t>Scenario</t>
        </is>
      </c>
      <c r="C6" s="5" t="inlineStr">
        <is>
          <t>Verdict</t>
        </is>
      </c>
      <c r="D6" s="5" t="inlineStr">
        <is>
          <t>Which case?</t>
        </is>
      </c>
      <c r="E6" s="5" t="inlineStr">
        <is>
          <t>Why</t>
        </is>
      </c>
      <c r="F6" s="5" t="inlineStr"/>
      <c r="G6" s="5" t="inlineStr"/>
    </row>
    <row r="7" ht="46" customHeight="1">
      <c r="A7" s="6" t="n">
        <v>1</v>
      </c>
      <c r="B7" s="17" t="inlineStr">
        <is>
          <t>DimCity carries Province and Region, repeated across 15 rows.</t>
        </is>
      </c>
      <c r="C7" s="27" t="inlineStr">
        <is>
          <t>Flatten</t>
        </is>
      </c>
      <c r="D7" s="27" t="inlineStr">
        <is>
          <t>—</t>
        </is>
      </c>
      <c r="E7" s="30" t="inlineStr">
        <is>
          <t>15 rows: T2 proved the saving is −18 bytes. The joins cost more than the bytes.</t>
        </is>
      </c>
    </row>
    <row r="8" ht="46" customHeight="1">
      <c r="A8" s="6" t="n">
        <v>2</v>
      </c>
      <c r="B8" s="17" t="inlineStr">
        <is>
          <t>DimRoute needs to know the month its corridor opened.</t>
        </is>
      </c>
      <c r="C8" s="27" t="inlineStr">
        <is>
          <t>Snowflake</t>
        </is>
      </c>
      <c r="D8" s="27" t="inlineStr">
        <is>
          <t>Case 1</t>
        </is>
      </c>
      <c r="E8" s="30" t="inlineStr">
        <is>
          <t>Month-opened is a genuine outrigger — a conformed DimDate at month grain, a dimension in its own right.</t>
        </is>
      </c>
    </row>
    <row r="9" ht="46" customHeight="1">
      <c r="A9" s="6" t="n">
        <v>3</v>
      </c>
      <c r="B9" s="17" t="inlineStr">
        <is>
          <t>A customer dimension of 50 million rows repeats a 400-character segment description.</t>
        </is>
      </c>
      <c r="C9" s="27" t="inlineStr">
        <is>
          <t>Snowflake</t>
        </is>
      </c>
      <c r="D9" s="27" t="inlineStr">
        <is>
          <t>Case 2</t>
        </is>
      </c>
      <c r="E9" s="30" t="inlineStr">
        <is>
          <t>50M rows × 400-char text: the dictionary cannot hold it, so snowflaking saves real bytes.</t>
        </is>
      </c>
    </row>
    <row r="10" ht="46" customHeight="1">
      <c r="A10" s="6" t="n">
        <v>4</v>
      </c>
      <c r="B10" s="17" t="inlineStr">
        <is>
          <t>Product sub-category is loaded nightly; manufacturer detail arrives monthly from a different vendor system.</t>
        </is>
      </c>
      <c r="C10" s="27" t="inlineStr">
        <is>
          <t>Snowflake</t>
        </is>
      </c>
      <c r="D10" s="27" t="inlineStr">
        <is>
          <t>Case 3</t>
        </is>
      </c>
      <c r="E10" s="30" t="inlineStr">
        <is>
          <t>Manufacturer detail is owned elsewhere and arrives on a different cadence — separate table, separate load.</t>
        </is>
      </c>
    </row>
    <row r="11" ht="46" customHeight="1">
      <c r="A11" s="6" t="n">
        <v>5</v>
      </c>
      <c r="B11" s="17" t="inlineStr">
        <is>
          <t>One shipment can carry several hazard classes.</t>
        </is>
      </c>
      <c r="C11" s="27" t="inlineStr">
        <is>
          <t>Bridge</t>
        </is>
      </c>
      <c r="D11" s="27" t="inlineStr">
        <is>
          <t>Case 4</t>
        </is>
      </c>
      <c r="E11" s="30" t="inlineStr">
        <is>
          <t>Multi-valued: one shipment, several hazard classes — a bridge table, not a snowflake.</t>
        </is>
      </c>
    </row>
    <row r="12" ht="46" customHeight="1">
      <c r="A12" s="6" t="n">
        <v>6</v>
      </c>
      <c r="B12" s="17" t="inlineStr">
        <is>
          <t>The model would look tidier in the diagram if City rolled up into Province.</t>
        </is>
      </c>
      <c r="C12" s="27" t="inlineStr">
        <is>
          <t>Flatten</t>
        </is>
      </c>
      <c r="D12" s="27" t="inlineStr">
        <is>
          <t>—</t>
        </is>
      </c>
      <c r="E12" s="30" t="inlineStr">
        <is>
          <t>"Tidier diagram" is not a reason — no storage win, no ownership split, just aesthetics.</t>
        </is>
      </c>
    </row>
    <row r="14" ht="22" customHeight="1">
      <c r="A14" s="3" t="inlineStr">
        <is>
          <t>Self-check</t>
        </is>
      </c>
    </row>
    <row r="15">
      <c r="B15" s="7" t="inlineStr">
        <is>
          <t>Flatten</t>
        </is>
      </c>
      <c r="C15" s="18">
        <f>COUNTIF(C7:C12,"Flatten")</f>
        <v/>
      </c>
      <c r="D15" s="6">
        <f>IF(COUNTIF(C7:C12,"Flatten")=2,"✔ pass","✘ fix")</f>
        <v/>
      </c>
    </row>
    <row r="16">
      <c r="B16" s="7" t="inlineStr">
        <is>
          <t>Snowflake</t>
        </is>
      </c>
      <c r="C16" s="18">
        <f>COUNTIF(C7:C12,"Snowflake")</f>
        <v/>
      </c>
      <c r="D16" s="6">
        <f>IF(COUNTIF(C7:C12,"Snowflake")=3,"✔ pass","✘ fix")</f>
        <v/>
      </c>
    </row>
    <row r="17">
      <c r="B17" s="7" t="inlineStr">
        <is>
          <t>Bridge</t>
        </is>
      </c>
      <c r="C17" s="18">
        <f>COUNTIF(C7:C12,"Bridge")</f>
        <v/>
      </c>
      <c r="D17" s="6">
        <f>IF(COUNTIF(C7:C12,"Bridge")=1,"✔ pass","✘ fix")</f>
        <v/>
      </c>
    </row>
    <row r="19">
      <c r="A19" s="19" t="inlineStr">
        <is>
          <t>The test, in your own words — two conditions, both of which must hold before you snowflake anything:</t>
        </is>
      </c>
      <c r="B19" s="32" t="n"/>
      <c r="C19" s="32" t="n"/>
      <c r="D19" s="32" t="n"/>
      <c r="E19" s="32" t="n"/>
      <c r="F19" s="32" t="n"/>
      <c r="G19" s="33" t="n"/>
    </row>
    <row r="20" ht="30" customHeight="1">
      <c r="A20" s="30" t="inlineStr">
        <is>
          <t>Snowflake only when (1) the attribute is a true dimension in its own right AND (2) the win — storage, ownership or grain — outweighs the join cost. Both conditions must hold.</t>
        </is>
      </c>
      <c r="B20" s="41" t="n"/>
      <c r="C20" s="41" t="n"/>
      <c r="D20" s="41" t="n"/>
      <c r="E20" s="41" t="n"/>
      <c r="F20" s="41" t="n"/>
      <c r="G20" s="42" t="n"/>
    </row>
    <row r="21">
      <c r="A21" s="43" t="n"/>
      <c r="G21" s="44" t="n"/>
    </row>
    <row r="22">
      <c r="A22" s="45" t="n"/>
      <c r="B22" s="46" t="n"/>
      <c r="C22" s="46" t="n"/>
      <c r="D22" s="46" t="n"/>
      <c r="E22" s="46" t="n"/>
      <c r="F22" s="46" t="n"/>
      <c r="G22" s="47" t="n"/>
    </row>
  </sheetData>
  <mergeCells count="6">
    <mergeCell ref="A14:G14"/>
    <mergeCell ref="A1:G1"/>
    <mergeCell ref="A4:G4"/>
    <mergeCell ref="A2:G2"/>
    <mergeCell ref="A20:G22"/>
    <mergeCell ref="A19:G19"/>
  </mergeCells>
  <dataValidations count="2">
    <dataValidation sqref="C7:C12" showDropDown="0" showInputMessage="0" showErrorMessage="0" allowBlank="1" type="list">
      <formula1>"Flatten,Snowflake,Bridge"</formula1>
    </dataValidation>
    <dataValidation sqref="D7:D12" showDropDown="0" showInputMessage="0" showErrorMessage="0" allowBlank="1" type="list">
      <formula1>"case 1,case 2,case 3,case 4,none"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5" customWidth="1" min="1" max="1"/>
    <col width="46" customWidth="1" min="2" max="2"/>
    <col width="20" customWidth="1" min="3" max="3"/>
    <col width="20" customWidth="1" min="4" max="4"/>
    <col width="14" customWidth="1" min="5" max="5"/>
    <col width="44" customWidth="1" min="6" max="6"/>
    <col width="10" customWidth="1" min="7" max="7"/>
  </cols>
  <sheetData>
    <row r="1" ht="30" customHeight="1">
      <c r="A1" s="1" t="inlineStr">
        <is>
          <t>T7 · Reconcile — 12 marks</t>
        </is>
      </c>
    </row>
    <row r="2" ht="30" customHeight="1">
      <c r="A2" s="2" t="inlineStr">
        <is>
          <t>Thirteen checks against the model you built in Power BI. All thirteen must read “pass”. Submitting with a single ✘ loses all 12 marks for this task.</t>
        </is>
      </c>
    </row>
    <row r="4" ht="40" customHeight="1">
      <c r="A4" s="4" t="inlineStr">
        <is>
          <t>Read each number off your Power BI model and type it into the cream column. Do not copy the expected column across — the point of a reconciliation is that it can fail. Checks 7 and 8 are the two totals that have been true since Week 2.</t>
        </is>
      </c>
    </row>
    <row r="6" ht="32" customHeight="1">
      <c r="A6" s="5" t="inlineStr">
        <is>
          <t>#</t>
        </is>
      </c>
      <c r="B6" s="5" t="inlineStr">
        <is>
          <t>Check</t>
        </is>
      </c>
      <c r="C6" s="5" t="inlineStr">
        <is>
          <t>Your model</t>
        </is>
      </c>
      <c r="D6" s="5" t="inlineStr">
        <is>
          <t>Expected</t>
        </is>
      </c>
      <c r="E6" s="5" t="inlineStr">
        <is>
          <t>Result</t>
        </is>
      </c>
      <c r="F6" s="5" t="inlineStr">
        <is>
          <t>Where to read it in Power BI</t>
        </is>
      </c>
      <c r="G6" s="5" t="inlineStr"/>
    </row>
    <row r="7" ht="24" customHeight="1">
      <c r="A7" s="6" t="n">
        <v>1</v>
      </c>
      <c r="B7" s="17" t="inlineStr">
        <is>
          <t>Relationships in the model</t>
        </is>
      </c>
      <c r="C7" s="35" t="n">
        <v>6</v>
      </c>
      <c r="D7" s="34" t="n">
        <v>6</v>
      </c>
      <c r="E7" s="6">
        <f>IF(C7="","",IF(C7=D7,"✔ pass","✘ fix"))</f>
        <v/>
      </c>
      <c r="F7" s="38" t="inlineStr">
        <is>
          <t>Model view — count the lines between tables</t>
        </is>
      </c>
    </row>
    <row r="8" ht="24" customHeight="1">
      <c r="A8" s="6" t="n">
        <v>2</v>
      </c>
      <c r="B8" s="17" t="inlineStr">
        <is>
          <t>Relationships with cardinality * : 1</t>
        </is>
      </c>
      <c r="C8" s="35" t="n">
        <v>6</v>
      </c>
      <c r="D8" s="34" t="n">
        <v>6</v>
      </c>
      <c r="E8" s="6">
        <f>IF(C8="","",IF(C8=D8,"✔ pass","✘ fix"))</f>
        <v/>
      </c>
      <c r="F8" s="38" t="inlineStr">
        <is>
          <t>Double-click each line; read the Cardinality box</t>
        </is>
      </c>
    </row>
    <row r="9" ht="24" customHeight="1">
      <c r="A9" s="6" t="n">
        <v>3</v>
      </c>
      <c r="B9" s="17" t="inlineStr">
        <is>
          <t>Relationships with cross-filter Single</t>
        </is>
      </c>
      <c r="C9" s="35" t="n">
        <v>6</v>
      </c>
      <c r="D9" s="34" t="n">
        <v>6</v>
      </c>
      <c r="E9" s="6">
        <f>IF(C9="","",IF(C9=D9,"✔ pass","✘ fix"))</f>
        <v/>
      </c>
      <c r="F9" s="38" t="inlineStr">
        <is>
          <t>Double-click each line; read Cross-filter direction</t>
        </is>
      </c>
    </row>
    <row r="10" ht="24" customHeight="1">
      <c r="A10" s="6" t="n">
        <v>4</v>
      </c>
      <c r="B10" s="17" t="inlineStr">
        <is>
          <t>Active relationships</t>
        </is>
      </c>
      <c r="C10" s="35" t="n">
        <v>5</v>
      </c>
      <c r="D10" s="34" t="n">
        <v>5</v>
      </c>
      <c r="E10" s="6">
        <f>IF(C10="","",IF(C10=D10,"✔ pass","✘ fix"))</f>
        <v/>
      </c>
      <c r="F10" s="38" t="inlineStr">
        <is>
          <t>Solid lines in Model view</t>
        </is>
      </c>
    </row>
    <row r="11" ht="24" customHeight="1">
      <c r="A11" s="6" t="n">
        <v>5</v>
      </c>
      <c r="B11" s="17" t="inlineStr">
        <is>
          <t>Inactive relationships</t>
        </is>
      </c>
      <c r="C11" s="35" t="n">
        <v>1</v>
      </c>
      <c r="D11" s="34" t="n">
        <v>1</v>
      </c>
      <c r="E11" s="6">
        <f>IF(C11="","",IF(C11=D11,"✔ pass","✘ fix"))</f>
        <v/>
      </c>
      <c r="F11" s="38" t="inlineStr">
        <is>
          <t>Dashed lines in Model view</t>
        </is>
      </c>
    </row>
    <row r="12" ht="24" customHeight="1">
      <c r="A12" s="6" t="n">
        <v>6</v>
      </c>
      <c r="B12" s="17" t="inlineStr">
        <is>
          <t>Rows in FactShipment</t>
        </is>
      </c>
      <c r="C12" s="35" t="n">
        <v>34</v>
      </c>
      <c r="D12" s="34" t="n">
        <v>34</v>
      </c>
      <c r="E12" s="6">
        <f>IF(C12="","",IF(C12=D12,"✔ pass","✘ fix"))</f>
        <v/>
      </c>
      <c r="F12" s="38" t="inlineStr">
        <is>
          <t>A card visual with Count of rows on FactShipment</t>
        </is>
      </c>
    </row>
    <row r="13" ht="24" customHeight="1">
      <c r="A13" s="6" t="n">
        <v>7</v>
      </c>
      <c r="B13" s="17" t="inlineStr">
        <is>
          <t>SUM of WeightKG</t>
        </is>
      </c>
      <c r="C13" s="35" t="n">
        <v>578650</v>
      </c>
      <c r="D13" s="34" t="n">
        <v>578650</v>
      </c>
      <c r="E13" s="6">
        <f>IF(C13="","",IF(C13=D13,"✔ pass","✘ fix"))</f>
        <v/>
      </c>
      <c r="F13" s="38" t="inlineStr">
        <is>
          <t>A card visual, SUM of WeightKG, no filters applied</t>
        </is>
      </c>
    </row>
    <row r="14" ht="24" customHeight="1">
      <c r="A14" s="6" t="n">
        <v>8</v>
      </c>
      <c r="B14" s="17" t="inlineStr">
        <is>
          <t>SUM of FreightCostPKR</t>
        </is>
      </c>
      <c r="C14" s="35" t="n">
        <v>4808000</v>
      </c>
      <c r="D14" s="34" t="n">
        <v>4808000</v>
      </c>
      <c r="E14" s="6">
        <f>IF(C14="","",IF(C14=D14,"✔ pass","✘ fix"))</f>
        <v/>
      </c>
      <c r="F14" s="38" t="inlineStr">
        <is>
          <t>A card visual, SUM of FreightCostPKR, no filters applied</t>
        </is>
      </c>
    </row>
    <row r="15" ht="24" customHeight="1">
      <c r="A15" s="6" t="n">
        <v>9</v>
      </c>
      <c r="B15" s="17" t="inlineStr">
        <is>
          <t>Blank rows across all five dimensions</t>
        </is>
      </c>
      <c r="C15" s="35" t="n">
        <v>0</v>
      </c>
      <c r="D15" s="34" t="n">
        <v>0</v>
      </c>
      <c r="E15" s="6">
        <f>IF(C15="","",IF(C15=D15,"✔ pass","✘ fix"))</f>
        <v/>
      </c>
      <c r="F15" s="38" t="inlineStr">
        <is>
          <t>Put each dimension in a slicer; look for “(Blank)”</t>
        </is>
      </c>
    </row>
    <row r="16" ht="24" customHeight="1">
      <c r="A16" s="6" t="n">
        <v>10</v>
      </c>
      <c r="B16" s="17" t="inlineStr">
        <is>
          <t>Distinct origin provinces in the fact</t>
        </is>
      </c>
      <c r="C16" s="35" t="n">
        <v>4</v>
      </c>
      <c r="D16" s="34" t="n">
        <v>4</v>
      </c>
      <c r="E16" s="6">
        <f>IF(C16="","",IF(C16=D16,"✔ pass","✘ fix"))</f>
        <v/>
      </c>
      <c r="F16" s="38" t="inlineStr">
        <is>
          <t>A card with DISTINCTCOUNT of DimCity[Province]</t>
        </is>
      </c>
    </row>
    <row r="17" ht="24" customHeight="1">
      <c r="A17" s="6" t="n">
        <v>11</v>
      </c>
      <c r="B17" s="17" t="inlineStr">
        <is>
          <t>WeightKG for Sindh origins</t>
        </is>
      </c>
      <c r="C17" s="35" t="n">
        <v>484350</v>
      </c>
      <c r="D17" s="34" t="n">
        <v>484350</v>
      </c>
      <c r="E17" s="6">
        <f>IF(C17="","",IF(C17=D17,"✔ pass","✘ fix"))</f>
        <v/>
      </c>
      <c r="F17" s="38" t="inlineStr">
        <is>
          <t>Matrix: WeightKG by Province; read the Sindh row</t>
        </is>
      </c>
    </row>
    <row r="18" ht="24" customHeight="1">
      <c r="A18" s="6" t="n">
        <v>12</v>
      </c>
      <c r="B18" s="17" t="inlineStr">
        <is>
          <t>WeightKG for Punjab origins</t>
        </is>
      </c>
      <c r="C18" s="35" t="n">
        <v>44100</v>
      </c>
      <c r="D18" s="34" t="n">
        <v>44100</v>
      </c>
      <c r="E18" s="6">
        <f>IF(C18="","",IF(C18=D18,"✔ pass","✘ fix"))</f>
        <v/>
      </c>
      <c r="F18" s="38" t="inlineStr">
        <is>
          <t>Matrix: WeightKG by Province; read the Punjab row</t>
        </is>
      </c>
    </row>
    <row r="19" ht="24" customHeight="1">
      <c r="A19" s="6" t="n">
        <v>13</v>
      </c>
      <c r="B19" s="17" t="inlineStr">
        <is>
          <t>WeightKG for Balochistan origins</t>
        </is>
      </c>
      <c r="C19" s="35" t="n">
        <v>44100</v>
      </c>
      <c r="D19" s="34" t="n">
        <v>44100</v>
      </c>
      <c r="E19" s="6">
        <f>IF(C19="","",IF(C19=D19,"✔ pass","✘ fix"))</f>
        <v/>
      </c>
      <c r="F19" s="38" t="inlineStr">
        <is>
          <t>Matrix: WeightKG by Province; read the Balochistan row</t>
        </is>
      </c>
    </row>
    <row r="21">
      <c r="B21" s="12" t="inlineStr">
        <is>
          <t>CHECKS PASSING</t>
        </is>
      </c>
      <c r="C21" s="29">
        <f>COUNTIF(E7:E19,"✔ pass")</f>
        <v/>
      </c>
      <c r="D21" s="29" t="inlineStr">
        <is>
          <t>of 13</t>
        </is>
      </c>
      <c r="E21" s="6">
        <f>IF(COUNTIF(E7:E19,"✔ pass")=13,"✔ pass","✘ fix")</f>
        <v/>
      </c>
    </row>
    <row r="23" ht="22" customHeight="1">
      <c r="A23" s="3" t="inlineStr">
        <is>
          <t>Two diagnostics — if these two specific wrong numbers appear</t>
        </is>
      </c>
    </row>
    <row r="24" ht="34" customHeight="1">
      <c r="B24" s="39" t="inlineStr">
        <is>
          <t>Check 10 reads 5, not 4</t>
        </is>
      </c>
      <c r="C24" s="40" t="inlineStr">
        <is>
          <t>You counted provinces across BOTH city roles. Only four provinces ever ship FROM anywhere — Sindh, Punjab, Balochistan and Islamabad ICT. Check your relationship is on OriginCityKey.</t>
        </is>
      </c>
      <c r="D24" s="32" t="n"/>
      <c r="E24" s="32" t="n"/>
      <c r="F24" s="32" t="n"/>
      <c r="G24" s="33" t="n"/>
    </row>
    <row r="25" ht="34" customHeight="1">
      <c r="B25" s="39" t="inlineStr">
        <is>
          <t>Checks 11 and 12 both read 44,100</t>
        </is>
      </c>
      <c r="C25" s="40" t="inlineStr">
        <is>
          <t>Not necessarily an error. Punjab and Balochistan origins genuinely both total 44,100 kg — a coincidence in the data. Verify Sindh reads 484,350 and the grand total reconciles before you go looking for a bug.</t>
        </is>
      </c>
      <c r="D25" s="32" t="n"/>
      <c r="E25" s="32" t="n"/>
      <c r="F25" s="32" t="n"/>
      <c r="G25" s="33" t="n"/>
    </row>
    <row r="26" ht="34" customHeight="1">
      <c r="B26" s="39" t="inlineStr">
        <is>
          <t>Check 9 reads anything but 0</t>
        </is>
      </c>
      <c r="C26" s="40" t="inlineStr">
        <is>
          <t>A fact key points at a dimension row that does not exist, so Power BI invented a blank row. The grand total will still be right and every breakdown will be short. Route the unmatched key to the Unknown member at −1.</t>
        </is>
      </c>
      <c r="D26" s="32" t="n"/>
      <c r="E26" s="32" t="n"/>
      <c r="F26" s="32" t="n"/>
      <c r="G26" s="33" t="n"/>
    </row>
  </sheetData>
  <mergeCells count="7">
    <mergeCell ref="A1:G1"/>
    <mergeCell ref="C24:G24"/>
    <mergeCell ref="A4:G4"/>
    <mergeCell ref="C25:G25"/>
    <mergeCell ref="A2:G2"/>
    <mergeCell ref="C26:G26"/>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2026-10-16T16:53:35Z</dcterms:created>
  <dcterms:modified xsi:type="dcterms:W3CDTF">2026-10-19T17:34:30Z</dcterms:modified>
</cp:coreProperties>
</file>