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Marine_Raw" sheetId="2" state="visible" r:id="rId2"/>
    <sheet name="Rail_Raw" sheetId="3" state="visible" r:id="rId3"/>
    <sheet name="Road_Raw" sheetId="4" state="visible" r:id="rId4"/>
    <sheet name="T1 Detective" sheetId="5" state="visible" r:id="rId5"/>
    <sheet name="T2 Stovepipes" sheetId="6" state="visible" r:id="rId6"/>
    <sheet name="T3a Marine_Stg" sheetId="7" state="visible" r:id="rId7"/>
    <sheet name="T3b Rail_Stg" sheetId="8" state="visible" r:id="rId8"/>
    <sheet name="T3c Road_Stg" sheetId="9" state="visible" r:id="rId9"/>
    <sheet name="T4 Reconcile" sheetId="10" state="visible" r:id="rId10"/>
    <sheet name="T5 Lineage" sheetId="11" state="visible" r:id="rId11"/>
    <sheet name="T6 Bus Matrix" sheetId="12" state="visible" r:id="rId12"/>
    <sheet name="T7 Inmon or Kimball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\+#,##0.00;\-#,##0.00;0.00"/>
    <numFmt numFmtId="166" formatCode="#,##0.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2545"/>
      <sz val="16"/>
    </font>
    <font>
      <name val="Arial"/>
      <charset val="1"/>
      <family val="0"/>
      <i val="1"/>
      <color rgb="FF4B5563"/>
      <sz val="10"/>
    </font>
    <font>
      <name val="Arial"/>
      <charset val="1"/>
      <family val="0"/>
      <b val="1"/>
      <color rgb="FF0B2545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10"/>
    </font>
    <font>
      <name val="Arial"/>
      <charset val="1"/>
      <family val="0"/>
      <color rgb="FF6B728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color rgb="FF6B7280"/>
      <sz val="11"/>
    </font>
    <font>
      <name val="Arial"/>
      <charset val="1"/>
      <family val="0"/>
      <b val="1"/>
      <color rgb="FF00A6A6"/>
      <sz val="11"/>
    </font>
    <font>
      <name val="Arial"/>
      <charset val="1"/>
      <family val="0"/>
      <i val="1"/>
      <color rgb="FF6B7280"/>
      <sz val="9"/>
    </font>
  </fonts>
  <fills count="11">
    <fill>
      <patternFill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E6F6F6"/>
      </patternFill>
    </fill>
    <fill>
      <patternFill patternType="solid">
        <fgColor rgb="FFC6EFCE"/>
        <bgColor rgb="FFE3EDF7"/>
      </patternFill>
    </fill>
    <fill>
      <patternFill patternType="solid">
        <fgColor rgb="FFFFC7CE"/>
        <bgColor rgb="FFC8CFD8"/>
      </patternFill>
    </fill>
    <fill>
      <patternFill patternType="solid">
        <fgColor rgb="FF6B7280"/>
        <bgColor rgb="FF808080"/>
      </patternFill>
    </fill>
    <fill>
      <patternFill patternType="solid">
        <fgColor rgb="FFE6F6F6"/>
        <bgColor rgb="FFE3EDF7"/>
      </patternFill>
    </fill>
    <fill>
      <patternFill patternType="solid">
        <fgColor rgb="FF00A6A6"/>
        <bgColor rgb="FF008080"/>
      </patternFill>
    </fill>
    <fill>
      <patternFill patternType="solid">
        <fgColor rgb="FFE3EDF7"/>
        <bgColor rgb="FFE6F6F6"/>
      </patternFill>
    </fill>
  </fills>
  <borders count="6">
    <border>
      <left/>
      <right/>
      <top/>
      <bottom/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  <border>
      <left/>
      <right/>
      <top style="thin">
        <color rgb="FFC8CFD8"/>
      </top>
      <bottom/>
      <diagonal/>
    </border>
    <border>
      <left/>
      <right style="thin">
        <color rgb="FFC8CFD8"/>
      </right>
      <top style="thin">
        <color rgb="FFC8CFD8"/>
      </top>
      <bottom/>
      <diagonal/>
    </border>
    <border>
      <left/>
      <right/>
      <top style="thin">
        <color rgb="FFC8CFD8"/>
      </top>
      <bottom style="thin">
        <color rgb="FFC8CFD8"/>
      </bottom>
      <diagonal/>
    </border>
    <border>
      <left/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top"/>
    </xf>
    <xf numFmtId="3" fontId="9" fillId="4" borderId="1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top"/>
    </xf>
    <xf numFmtId="2" fontId="9" fillId="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right" vertical="top" wrapText="1"/>
    </xf>
    <xf numFmtId="4" fontId="9" fillId="3" borderId="1" applyAlignment="1" pivotButton="0" quotePrefix="0" xfId="0">
      <alignment horizontal="general" vertical="top" wrapText="1"/>
    </xf>
    <xf numFmtId="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3" fontId="14" fillId="8" borderId="1" applyAlignment="1" pivotButton="0" quotePrefix="0" xfId="0">
      <alignment horizontal="general" vertical="top" wrapText="1"/>
    </xf>
    <xf numFmtId="4" fontId="10" fillId="8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164" fontId="9" fillId="3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0" fontId="9" fillId="3" borderId="1" applyAlignment="1" pivotButton="0" quotePrefix="0" xfId="0">
      <alignment horizontal="general" vertical="top"/>
    </xf>
    <xf numFmtId="0" fontId="9" fillId="8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3" borderId="1" applyAlignment="1" pivotButton="0" quotePrefix="0" xfId="0">
      <alignment horizontal="general" vertical="top"/>
    </xf>
    <xf numFmtId="0" fontId="8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4" fontId="10" fillId="0" borderId="1" applyAlignment="1" pivotButton="0" quotePrefix="0" xfId="0">
      <alignment horizontal="general" vertical="top" wrapText="1"/>
    </xf>
    <xf numFmtId="4" fontId="14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top"/>
    </xf>
    <xf numFmtId="3" fontId="9" fillId="4" borderId="1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top"/>
    </xf>
    <xf numFmtId="2" fontId="9" fillId="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right" vertical="top" wrapText="1"/>
    </xf>
    <xf numFmtId="4" fontId="9" fillId="3" borderId="1" applyAlignment="1" pivotButton="0" quotePrefix="0" xfId="0">
      <alignment horizontal="general" vertical="top" wrapText="1"/>
    </xf>
    <xf numFmtId="4" fontId="9" fillId="0" borderId="1" applyAlignment="1" pivotButton="0" quotePrefix="0" xfId="0">
      <alignment horizontal="general" vertical="top" wrapText="1"/>
    </xf>
    <xf numFmtId="165" fontId="9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3" fontId="14" fillId="8" borderId="1" applyAlignment="1" pivotButton="0" quotePrefix="0" xfId="0">
      <alignment horizontal="general" vertical="top" wrapText="1"/>
    </xf>
    <xf numFmtId="4" fontId="10" fillId="8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164" fontId="9" fillId="3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0" fontId="9" fillId="3" borderId="1" applyAlignment="1" pivotButton="0" quotePrefix="0" xfId="0">
      <alignment horizontal="general" vertical="top"/>
    </xf>
    <xf numFmtId="0" fontId="9" fillId="8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3" borderId="1" applyAlignment="1" pivotButton="0" quotePrefix="0" xfId="0">
      <alignment horizontal="general" vertical="top"/>
    </xf>
    <xf numFmtId="0" fontId="8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general" vertical="top" wrapText="1"/>
    </xf>
    <xf numFmtId="3" fontId="14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4" fontId="10" fillId="0" borderId="1" applyAlignment="1" pivotButton="0" quotePrefix="0" xfId="0">
      <alignment horizontal="general" vertical="top" wrapText="1"/>
    </xf>
    <xf numFmtId="4" fontId="14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3F4F6"/>
      <rgbColor rgb="FFE6F6F6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DF7"/>
      <rgbColor rgb="FFC6EFCE"/>
      <rgbColor rgb="FFFFF59D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B2545"/>
      <rgbColor rgb="FF339966"/>
      <rgbColor rgb="FF003300"/>
      <rgbColor rgb="FF333300"/>
      <rgbColor rgb="FF993300"/>
      <rgbColor rgb="FF993366"/>
      <rgbColor rgb="FF333399"/>
      <rgbColor rgb="FF4B556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C9" authorId="0" shapeId="0">
      <text>
        <t>Hard-coded: the official total from the lab files (slides 17 &amp; 39). Task 4 proves it.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00A6A6"/>
    <outlinePr summaryBelow="1" summaryRight="1"/>
    <pageSetUpPr fitToPage="1"/>
  </sheetPr>
  <dimension ref="A1:F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55" min="1" max="1"/>
    <col width="46" customWidth="1" style="55" min="2" max="2"/>
    <col width="22" customWidth="1" style="55" min="3" max="3"/>
    <col width="40" customWidth="1" style="55" min="4" max="4"/>
    <col width="13" customWidth="1" style="55" min="5" max="5"/>
    <col width="34" customWidth="1" style="55" min="6" max="6"/>
  </cols>
  <sheetData>
    <row r="1" ht="27.75" customHeight="1" s="56">
      <c r="A1" s="57" t="inlineStr">
        <is>
          <t>PakFreight Data Detective — Week 2 Activity</t>
        </is>
      </c>
    </row>
    <row r="2" ht="43.5" customHeight="1" s="56">
      <c r="A2" s="58" t="inlineStr">
        <is>
          <t>Data Warehousing &amp; BI · Week 2 — DW Lifecycle &amp; Architecture. PakFreight has three shipment systems (Marine, Rail, Road). Every department reports a different total tonnage. Your team will find out why, fix it in a staging area, and prove the one true number.</t>
        </is>
      </c>
    </row>
    <row r="4" ht="15" customHeight="1" s="56">
      <c r="A4" s="59" t="inlineStr">
        <is>
          <t>How to work</t>
        </is>
      </c>
    </row>
    <row r="5" ht="27.75" customHeight="1" s="56">
      <c r="A5" s="60" t="inlineStr">
        <is>
          <t>•</t>
        </is>
      </c>
      <c r="B5" s="61" t="inlineStr">
        <is>
          <t>Work in teams of 3. Name one person each: Operations, Finance, Sales (needed in Task 2).</t>
        </is>
      </c>
    </row>
    <row r="6" ht="27.75" customHeight="1" s="56">
      <c r="A6" s="60" t="inlineStr">
        <is>
          <t>•</t>
        </is>
      </c>
      <c r="B6" s="61" t="inlineStr">
        <is>
          <t>Do the tasks in order — each tab is named T1, T2 … The minutes are a guide; your teacher will call time.</t>
        </is>
      </c>
    </row>
    <row r="7" ht="27.75" customHeight="1" s="56">
      <c r="A7" s="60" t="inlineStr">
        <is>
          <t>•</t>
        </is>
      </c>
      <c r="B7" s="61" t="inlineStr">
        <is>
          <t>Only type in YELLOW cells. GREY cells are raw data as received — never edit them (that is the point of staging!).</t>
        </is>
      </c>
    </row>
    <row r="8" ht="27.75" customHeight="1" s="56">
      <c r="A8" s="60" t="inlineStr">
        <is>
          <t>•</t>
        </is>
      </c>
      <c r="B8" s="61" t="inlineStr">
        <is>
          <t>Task 4 checks your work automatically: every ✘ means something in Task 3 is still wrong.</t>
        </is>
      </c>
    </row>
    <row r="9" ht="27.75" customHeight="1" s="56">
      <c r="A9" s="60" t="inlineStr">
        <is>
          <t>•</t>
        </is>
      </c>
      <c r="B9" s="61" t="inlineStr">
        <is>
          <t>Task 8 (draw Inmon vs Kimball) is done on paper — see the slide 'Your Turn: Draw Both Architectures'.</t>
        </is>
      </c>
    </row>
    <row r="10" ht="27.75" customHeight="1" s="56">
      <c r="A10" s="60" t="inlineStr">
        <is>
          <t>•</t>
        </is>
      </c>
      <c r="B10" s="61" t="inlineStr">
        <is>
          <t>Save the file as Team_&lt;number&gt;.xlsx and submit it with a photo of your drawing.</t>
        </is>
      </c>
    </row>
    <row r="12" ht="15" customHeight="1" s="56">
      <c r="A12" s="59" t="inlineStr">
        <is>
          <t>Plan</t>
        </is>
      </c>
    </row>
    <row r="13" ht="31.5" customHeight="1" s="56">
      <c r="A13" s="62" t="inlineStr">
        <is>
          <t>#</t>
        </is>
      </c>
      <c r="B13" s="62" t="inlineStr">
        <is>
          <t>Task</t>
        </is>
      </c>
      <c r="C13" s="62" t="inlineStr">
        <is>
          <t>Tab</t>
        </is>
      </c>
      <c r="D13" s="62" t="inlineStr">
        <is>
          <t>60-min class</t>
        </is>
      </c>
      <c r="E13" s="62" t="inlineStr">
        <is>
          <t>45-min class</t>
        </is>
      </c>
      <c r="F13" s="62" t="inlineStr">
        <is>
          <t>Concept from the slides</t>
        </is>
      </c>
    </row>
    <row r="14" ht="15" customHeight="1" s="56">
      <c r="A14" s="63" t="inlineStr">
        <is>
          <t>0</t>
        </is>
      </c>
      <c r="B14" s="64" t="inlineStr">
        <is>
          <t>Teacher intro: the '3 different totals' problem</t>
        </is>
      </c>
      <c r="C14" s="64" t="inlineStr">
        <is>
          <t>—</t>
        </is>
      </c>
      <c r="D14" s="63" t="n">
        <v>5</v>
      </c>
      <c r="E14" s="63" t="n">
        <v>3</v>
      </c>
      <c r="F14" s="64" t="inlineStr">
        <is>
          <t>Slide 17 stovepipes</t>
        </is>
      </c>
    </row>
    <row r="15" ht="15" customHeight="1" s="56">
      <c r="A15" s="63" t="inlineStr">
        <is>
          <t>1</t>
        </is>
      </c>
      <c r="B15" s="64" t="inlineStr">
        <is>
          <t>Data Detective — log every problem in the raw files</t>
        </is>
      </c>
      <c r="C15" s="64" t="inlineStr">
        <is>
          <t>T1 Detective</t>
        </is>
      </c>
      <c r="D15" s="63" t="n">
        <v>8</v>
      </c>
      <c r="E15" s="63" t="n">
        <v>6</v>
      </c>
      <c r="F15" s="64" t="inlineStr">
        <is>
          <t>Staging: profile before load</t>
        </is>
      </c>
    </row>
    <row r="16" ht="23.85" customHeight="1" s="56">
      <c r="A16" s="63" t="inlineStr">
        <is>
          <t>2</t>
        </is>
      </c>
      <c r="B16" s="64" t="inlineStr">
        <is>
          <t>Stovepipe Game — each department computes its own total</t>
        </is>
      </c>
      <c r="C16" s="64" t="inlineStr">
        <is>
          <t>T2 Stovepipes</t>
        </is>
      </c>
      <c r="D16" s="63" t="n">
        <v>7</v>
      </c>
      <c r="E16" s="63" t="n">
        <v>5</v>
      </c>
      <c r="F16" s="64" t="inlineStr">
        <is>
          <t>Independent vs dependent marts</t>
        </is>
      </c>
    </row>
    <row r="17" ht="15" customHeight="1" s="56">
      <c r="A17" s="63" t="inlineStr">
        <is>
          <t>3</t>
        </is>
      </c>
      <c r="B17" s="64" t="inlineStr">
        <is>
          <t>Clean the 3 files in staging with formulas</t>
        </is>
      </c>
      <c r="C17" s="64" t="inlineStr">
        <is>
          <t>T3a / T3b / T3c</t>
        </is>
      </c>
      <c r="D17" s="63" t="n">
        <v>15</v>
      </c>
      <c r="E17" s="63" t="n">
        <v>12</v>
      </c>
      <c r="F17" s="64" t="inlineStr">
        <is>
          <t>Staging transformations</t>
        </is>
      </c>
    </row>
    <row r="18" ht="15" customHeight="1" s="56">
      <c r="A18" s="63" t="inlineStr">
        <is>
          <t>4</t>
        </is>
      </c>
      <c r="B18" s="64" t="inlineStr">
        <is>
          <t>Reconcile — prove 34 rows and 578,650 kg</t>
        </is>
      </c>
      <c r="C18" s="64" t="inlineStr">
        <is>
          <t>T4 Reconcile</t>
        </is>
      </c>
      <c r="D18" s="63" t="n">
        <v>3</v>
      </c>
      <c r="E18" s="63" t="n">
        <v>3</v>
      </c>
      <c r="F18" s="64" t="inlineStr">
        <is>
          <t>Validate before you trust</t>
        </is>
      </c>
    </row>
    <row r="19" ht="23.85" customHeight="1" s="56">
      <c r="A19" s="63" t="inlineStr">
        <is>
          <t>5</t>
        </is>
      </c>
      <c r="B19" s="64" t="inlineStr">
        <is>
          <t>Trace the lineage of one number</t>
        </is>
      </c>
      <c r="C19" s="64" t="inlineStr">
        <is>
          <t>T5 Lineage</t>
        </is>
      </c>
      <c r="D19" s="63" t="n">
        <v>5</v>
      </c>
      <c r="E19" s="63" t="n">
        <v>0</v>
      </c>
      <c r="F19" s="64" t="inlineStr">
        <is>
          <t>Lineage (slide 29) — homework in 45-min version</t>
        </is>
      </c>
    </row>
    <row r="20" ht="15" customHeight="1" s="56">
      <c r="A20" s="63" t="inlineStr">
        <is>
          <t>6</t>
        </is>
      </c>
      <c r="B20" s="64" t="inlineStr">
        <is>
          <t>Kimball Bus Matrix</t>
        </is>
      </c>
      <c r="C20" s="64" t="inlineStr">
        <is>
          <t>T6 Bus Matrix</t>
        </is>
      </c>
      <c r="D20" s="63" t="n">
        <v>7</v>
      </c>
      <c r="E20" s="63" t="n">
        <v>6</v>
      </c>
      <c r="F20" s="64" t="inlineStr">
        <is>
          <t>Conformed dimensions</t>
        </is>
      </c>
    </row>
    <row r="21" ht="15" customHeight="1" s="56">
      <c r="A21" s="63" t="inlineStr">
        <is>
          <t>7</t>
        </is>
      </c>
      <c r="B21" s="64" t="inlineStr">
        <is>
          <t>Inmon or Kimball? — 10 scenarios</t>
        </is>
      </c>
      <c r="C21" s="64" t="inlineStr">
        <is>
          <t>T7 Inmon or Kimball</t>
        </is>
      </c>
      <c r="D21" s="63" t="n">
        <v>5</v>
      </c>
      <c r="E21" s="63" t="n">
        <v>5</v>
      </c>
      <c r="F21" s="64" t="inlineStr">
        <is>
          <t>Top-down vs bottom-up</t>
        </is>
      </c>
    </row>
    <row r="22" ht="15" customHeight="1" s="56">
      <c r="A22" s="63" t="inlineStr">
        <is>
          <t>8</t>
        </is>
      </c>
      <c r="B22" s="64" t="inlineStr">
        <is>
          <t>Draw both architectures (paper)</t>
        </is>
      </c>
      <c r="C22" s="64" t="inlineStr">
        <is>
          <t>Slide 20c</t>
        </is>
      </c>
      <c r="D22" s="63" t="n">
        <v>5</v>
      </c>
      <c r="E22" s="63" t="n">
        <v>5</v>
      </c>
      <c r="F22" s="64" t="inlineStr">
        <is>
          <t>Inmon CIF vs Kimball bus</t>
        </is>
      </c>
    </row>
    <row r="23" ht="15" customHeight="1" s="56">
      <c r="B23" s="65" t="inlineStr">
        <is>
          <t>Total minutes</t>
        </is>
      </c>
      <c r="D23" s="66">
        <f>SUM(D14:D22)</f>
        <v/>
      </c>
      <c r="E23" s="66">
        <f>SUM(E14:E22)</f>
        <v/>
      </c>
    </row>
    <row r="25" ht="15" customHeight="1" s="56">
      <c r="A25" s="59" t="inlineStr">
        <is>
          <t>Colour legend</t>
        </is>
      </c>
    </row>
    <row r="26" ht="15" customHeight="1" s="56">
      <c r="A26" s="67" t="n"/>
      <c r="B26" s="64" t="inlineStr">
        <is>
          <t>You type here</t>
        </is>
      </c>
    </row>
    <row r="27" ht="15" customHeight="1" s="56">
      <c r="A27" s="68" t="n"/>
      <c r="B27" s="64" t="inlineStr">
        <is>
          <t>Raw data — do not edit</t>
        </is>
      </c>
    </row>
    <row r="28" ht="15" customHeight="1" s="56">
      <c r="A28" s="69" t="n"/>
      <c r="B28" s="64" t="inlineStr">
        <is>
          <t>✔ check passed</t>
        </is>
      </c>
    </row>
    <row r="29" ht="15" customHeight="1" s="56">
      <c r="A29" s="70" t="n"/>
      <c r="B29" s="64" t="inlineStr">
        <is>
          <t>✘ check failed — go back and fix</t>
        </is>
      </c>
    </row>
    <row r="31" ht="15" customHeight="1" s="56">
      <c r="A31" s="59" t="inlineStr">
        <is>
          <t>The data contract (target schema)</t>
        </is>
      </c>
    </row>
    <row r="32" ht="31.5" customHeight="1" s="56">
      <c r="A32" s="62" t="inlineStr">
        <is>
          <t>Column</t>
        </is>
      </c>
      <c r="B32" s="62" t="inlineStr">
        <is>
          <t>Type</t>
        </is>
      </c>
      <c r="C32" s="62" t="inlineStr">
        <is>
          <t>Rule</t>
        </is>
      </c>
      <c r="D32" s="62" t="inlineStr">
        <is>
          <t>Example</t>
        </is>
      </c>
    </row>
    <row r="33" ht="23.85" customHeight="1" s="56">
      <c r="A33" s="64" t="inlineStr">
        <is>
          <t>ShipmentID</t>
        </is>
      </c>
      <c r="B33" s="64" t="inlineStr">
        <is>
          <t>Text</t>
        </is>
      </c>
      <c r="C33" s="64" t="inlineStr">
        <is>
          <t>Not blank · unique · prefix MR- / RL- / RD-</t>
        </is>
      </c>
      <c r="D33" s="64" t="inlineStr">
        <is>
          <t>RL-45012</t>
        </is>
      </c>
    </row>
    <row r="34" ht="15" customHeight="1" s="56">
      <c r="A34" s="64" t="inlineStr">
        <is>
          <t>ShipDate</t>
        </is>
      </c>
      <c r="B34" s="64" t="inlineStr">
        <is>
          <t>Date</t>
        </is>
      </c>
      <c r="C34" s="64" t="inlineStr">
        <is>
          <t>Real date (dd-mmm-yyyy)</t>
        </is>
      </c>
      <c r="D34" s="64" t="inlineStr">
        <is>
          <t>03-Feb-2026</t>
        </is>
      </c>
    </row>
    <row r="35" ht="15" customHeight="1" s="56">
      <c r="A35" s="64" t="inlineStr">
        <is>
          <t>Origin</t>
        </is>
      </c>
      <c r="B35" s="64" t="inlineStr">
        <is>
          <t>Text</t>
        </is>
      </c>
      <c r="C35" s="64" t="n"/>
      <c r="D35" s="64" t="n"/>
    </row>
    <row r="36" ht="15" customHeight="1" s="56">
      <c r="A36" s="64" t="inlineStr">
        <is>
          <t>Destination</t>
        </is>
      </c>
      <c r="B36" s="64" t="inlineStr">
        <is>
          <t>Text</t>
        </is>
      </c>
      <c r="C36" s="64" t="n"/>
      <c r="D36" s="64" t="n"/>
    </row>
    <row r="37" ht="15" customHeight="1" s="56">
      <c r="A37" s="64" t="inlineStr">
        <is>
          <t>WeightKG</t>
        </is>
      </c>
      <c r="B37" s="64" t="inlineStr">
        <is>
          <t>Number</t>
        </is>
      </c>
      <c r="C37" s="64" t="inlineStr">
        <is>
          <t>&gt; 0 · kilograms only</t>
        </is>
      </c>
      <c r="D37" s="64" t="inlineStr">
        <is>
          <t>32,500</t>
        </is>
      </c>
    </row>
    <row r="38" ht="15" customHeight="1" s="56">
      <c r="A38" s="64" t="inlineStr">
        <is>
          <t>CostPKR</t>
        </is>
      </c>
      <c r="B38" s="64" t="inlineStr">
        <is>
          <t>Number</t>
        </is>
      </c>
      <c r="C38" s="64" t="inlineStr">
        <is>
          <t>&gt; 0</t>
        </is>
      </c>
      <c r="D38" s="64" t="inlineStr">
        <is>
          <t>285,000</t>
        </is>
      </c>
    </row>
    <row r="39" ht="23.85" customHeight="1" s="56">
      <c r="A39" s="64" t="inlineStr">
        <is>
          <t>Status</t>
        </is>
      </c>
      <c r="B39" s="64" t="inlineStr">
        <is>
          <t>Text</t>
        </is>
      </c>
      <c r="C39" s="64" t="inlineStr">
        <is>
          <t>Exactly one of: Delivered · In Transit · Delayed</t>
        </is>
      </c>
      <c r="D39" s="64" t="inlineStr">
        <is>
          <t>Delivered</t>
        </is>
      </c>
    </row>
    <row r="40" ht="23.85" customHeight="1" s="56">
      <c r="A40" s="64" t="inlineStr">
        <is>
          <t>SourceSystem</t>
        </is>
      </c>
      <c r="B40" s="64" t="inlineStr">
        <is>
          <t>Text</t>
        </is>
      </c>
      <c r="C40" s="64" t="inlineStr">
        <is>
          <t>Marine · Rail · Road (audit column)</t>
        </is>
      </c>
      <c r="D40" s="64" t="inlineStr">
        <is>
          <t>Rail</t>
        </is>
      </c>
    </row>
  </sheetData>
  <mergeCells count="7">
    <mergeCell ref="A2:F2"/>
    <mergeCell ref="B7:F7"/>
    <mergeCell ref="B6:F6"/>
    <mergeCell ref="B10:F10"/>
    <mergeCell ref="B5:F5"/>
    <mergeCell ref="B8:F8"/>
    <mergeCell ref="B9:F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5" min="1" max="2"/>
    <col width="15" customWidth="1" style="55" min="3" max="3"/>
    <col width="20" customWidth="1" style="55" min="4" max="4"/>
    <col width="12" customWidth="1" style="55" min="5" max="6"/>
    <col width="14" customWidth="1" style="55" min="7" max="7"/>
  </cols>
  <sheetData>
    <row r="1" ht="31.5" customHeight="1" s="56">
      <c r="A1" s="71" t="inlineStr">
        <is>
          <t>Shipment_ID</t>
        </is>
      </c>
      <c r="B1" s="71" t="inlineStr">
        <is>
          <t>Ship_Date</t>
        </is>
      </c>
      <c r="C1" s="71" t="inlineStr">
        <is>
          <t>Origin_Port</t>
        </is>
      </c>
      <c r="D1" s="71" t="inlineStr">
        <is>
          <t>Dest_Port</t>
        </is>
      </c>
      <c r="E1" s="71" t="inlineStr">
        <is>
          <t>Weight_KG</t>
        </is>
      </c>
      <c r="F1" s="71" t="inlineStr">
        <is>
          <t>Cost_PKR</t>
        </is>
      </c>
      <c r="G1" s="71" t="inlineStr">
        <is>
          <t>Status</t>
        </is>
      </c>
    </row>
    <row r="2" ht="15" customHeight="1" s="56">
      <c r="A2" s="72" t="inlineStr">
        <is>
          <t>MR-1001</t>
        </is>
      </c>
      <c r="B2" s="72" t="inlineStr">
        <is>
          <t>01/02/2026</t>
        </is>
      </c>
      <c r="C2" s="72" t="inlineStr">
        <is>
          <t>Karachi Port</t>
        </is>
      </c>
      <c r="D2" s="72" t="inlineStr">
        <is>
          <t>Lahore Dry Port</t>
        </is>
      </c>
      <c r="E2" s="73" t="n">
        <v>18000</v>
      </c>
      <c r="F2" s="73" t="n">
        <v>142000</v>
      </c>
      <c r="G2" s="72" t="inlineStr">
        <is>
          <t>DELIVERED</t>
        </is>
      </c>
    </row>
    <row r="3" ht="15" customHeight="1" s="56">
      <c r="A3" s="72" t="inlineStr">
        <is>
          <t>MR-1002</t>
        </is>
      </c>
      <c r="B3" s="72" t="inlineStr">
        <is>
          <t>02/02/2026</t>
        </is>
      </c>
      <c r="C3" s="72" t="inlineStr">
        <is>
          <t>Port Qasim</t>
        </is>
      </c>
      <c r="D3" s="72" t="inlineStr">
        <is>
          <t>Faisalabad Dry Port</t>
        </is>
      </c>
      <c r="E3" s="73" t="n">
        <v>22500</v>
      </c>
      <c r="F3" s="73" t="n">
        <v>171000</v>
      </c>
      <c r="G3" s="72" t="inlineStr">
        <is>
          <t xml:space="preserve">DELIVERED </t>
        </is>
      </c>
    </row>
    <row r="4" ht="15" customHeight="1" s="56">
      <c r="A4" s="72" t="inlineStr">
        <is>
          <t>MR-1003</t>
        </is>
      </c>
      <c r="B4" s="72" t="inlineStr">
        <is>
          <t>03/02/2026</t>
        </is>
      </c>
      <c r="C4" s="72" t="inlineStr">
        <is>
          <t>Karachi Port</t>
        </is>
      </c>
      <c r="D4" s="72" t="inlineStr">
        <is>
          <t>Lahore Dry Port</t>
        </is>
      </c>
      <c r="E4" s="73" t="n">
        <v>15000</v>
      </c>
      <c r="F4" s="73" t="n">
        <v>119000</v>
      </c>
      <c r="G4" s="72" t="inlineStr">
        <is>
          <t>IN TRANSIT</t>
        </is>
      </c>
    </row>
    <row r="5" ht="15" customHeight="1" s="56">
      <c r="A5" s="72" t="inlineStr">
        <is>
          <t>MR-1004</t>
        </is>
      </c>
      <c r="B5" s="72" t="inlineStr">
        <is>
          <t>04/02/2026</t>
        </is>
      </c>
      <c r="C5" s="72" t="inlineStr">
        <is>
          <t>Gwadar Port</t>
        </is>
      </c>
      <c r="D5" s="72" t="inlineStr">
        <is>
          <t>Quetta</t>
        </is>
      </c>
      <c r="E5" s="73" t="n">
        <v>20000</v>
      </c>
      <c r="F5" s="73" t="n">
        <v>188000</v>
      </c>
      <c r="G5" s="72" t="inlineStr">
        <is>
          <t>DELIVERED</t>
        </is>
      </c>
    </row>
    <row r="6" ht="15" customHeight="1" s="56">
      <c r="A6" s="72" t="inlineStr">
        <is>
          <t>MR-1005</t>
        </is>
      </c>
      <c r="B6" s="72" t="inlineStr">
        <is>
          <t>05/02/2026</t>
        </is>
      </c>
      <c r="C6" s="72" t="inlineStr">
        <is>
          <t>Port Qasim</t>
        </is>
      </c>
      <c r="D6" s="72" t="inlineStr">
        <is>
          <t>Multan</t>
        </is>
      </c>
      <c r="E6" s="73" t="n">
        <v>16500</v>
      </c>
      <c r="F6" s="73" t="n">
        <v>128000</v>
      </c>
      <c r="G6" s="72" t="inlineStr">
        <is>
          <t xml:space="preserve"> DELIVERED</t>
        </is>
      </c>
    </row>
    <row r="7" ht="15" customHeight="1" s="56">
      <c r="A7" s="72" t="inlineStr">
        <is>
          <t>MR-1006</t>
        </is>
      </c>
      <c r="B7" s="72" t="inlineStr">
        <is>
          <t>06/02/2026</t>
        </is>
      </c>
      <c r="C7" s="72" t="inlineStr">
        <is>
          <t>Karachi Port</t>
        </is>
      </c>
      <c r="D7" s="72" t="inlineStr">
        <is>
          <t>Sialkot Dry Port</t>
        </is>
      </c>
      <c r="E7" s="73" t="n">
        <v>19000</v>
      </c>
      <c r="F7" s="73" t="n">
        <v>154000</v>
      </c>
      <c r="G7" s="72" t="inlineStr">
        <is>
          <t>DELAYED</t>
        </is>
      </c>
    </row>
    <row r="8" ht="15" customHeight="1" s="56">
      <c r="A8" s="72" t="inlineStr">
        <is>
          <t>MR-1007</t>
        </is>
      </c>
      <c r="B8" s="72" t="inlineStr">
        <is>
          <t>07/02/2026</t>
        </is>
      </c>
      <c r="C8" s="72" t="inlineStr">
        <is>
          <t>Port Qasim</t>
        </is>
      </c>
      <c r="D8" s="72" t="inlineStr">
        <is>
          <t>Lahore Dry Port</t>
        </is>
      </c>
      <c r="E8" s="73" t="n">
        <v>14000</v>
      </c>
      <c r="F8" s="73" t="n">
        <v>109000</v>
      </c>
      <c r="G8" s="72" t="inlineStr">
        <is>
          <t>DELIVERED</t>
        </is>
      </c>
    </row>
    <row r="9" ht="15" customHeight="1" s="56">
      <c r="A9" s="72" t="inlineStr">
        <is>
          <t>MR-1008</t>
        </is>
      </c>
      <c r="B9" s="72" t="inlineStr">
        <is>
          <t>09/02/2026</t>
        </is>
      </c>
      <c r="C9" s="72" t="inlineStr">
        <is>
          <t>Karachi Port</t>
        </is>
      </c>
      <c r="D9" s="72" t="inlineStr">
        <is>
          <t>Peshawar</t>
        </is>
      </c>
      <c r="E9" s="73" t="n">
        <v>21000</v>
      </c>
      <c r="F9" s="73" t="n">
        <v>197000</v>
      </c>
      <c r="G9" s="72" t="inlineStr">
        <is>
          <t xml:space="preserve">IN TRANSIT </t>
        </is>
      </c>
    </row>
    <row r="10" ht="15" customHeight="1" s="56">
      <c r="A10" s="72" t="inlineStr">
        <is>
          <t>MR-1009</t>
        </is>
      </c>
      <c r="B10" s="72" t="inlineStr">
        <is>
          <t>10/02/2026</t>
        </is>
      </c>
      <c r="C10" s="72" t="inlineStr">
        <is>
          <t>Gwadar Port</t>
        </is>
      </c>
      <c r="D10" s="72" t="inlineStr">
        <is>
          <t>Karachi Cantt</t>
        </is>
      </c>
      <c r="E10" s="73" t="n">
        <v>17500</v>
      </c>
      <c r="F10" s="73" t="n">
        <v>98000</v>
      </c>
      <c r="G10" s="72" t="inlineStr">
        <is>
          <t>DELIVERED</t>
        </is>
      </c>
    </row>
    <row r="11" ht="15" customHeight="1" s="56">
      <c r="A11" s="72" t="inlineStr">
        <is>
          <t>MR-1010</t>
        </is>
      </c>
      <c r="B11" s="72" t="inlineStr">
        <is>
          <t>11/02/2026</t>
        </is>
      </c>
      <c r="C11" s="72" t="inlineStr">
        <is>
          <t>Port Qasim</t>
        </is>
      </c>
      <c r="D11" s="72" t="inlineStr">
        <is>
          <t>Islamabad Dry Port</t>
        </is>
      </c>
      <c r="E11" s="73" t="n">
        <v>15500</v>
      </c>
      <c r="F11" s="73" t="n">
        <v>139000</v>
      </c>
      <c r="G11" s="72" t="inlineStr">
        <is>
          <t>DELIVERED</t>
        </is>
      </c>
    </row>
    <row r="12" ht="15" customHeight="1" s="56">
      <c r="A12" s="72" t="inlineStr">
        <is>
          <t>MR-1011</t>
        </is>
      </c>
      <c r="B12" s="72" t="inlineStr">
        <is>
          <t>12/02/2026</t>
        </is>
      </c>
      <c r="C12" s="72" t="inlineStr">
        <is>
          <t>Karachi Port</t>
        </is>
      </c>
      <c r="D12" s="72" t="inlineStr">
        <is>
          <t>Hyderabad</t>
        </is>
      </c>
      <c r="E12" s="73" t="n">
        <v>13500</v>
      </c>
      <c r="F12" s="73" t="n">
        <v>61000</v>
      </c>
      <c r="G12" s="72" t="inlineStr">
        <is>
          <t>IN TRANSIT</t>
        </is>
      </c>
    </row>
    <row r="13" ht="15" customHeight="1" s="56">
      <c r="A13" s="72" t="inlineStr">
        <is>
          <t>MR-1012</t>
        </is>
      </c>
      <c r="B13" s="72" t="inlineStr">
        <is>
          <t>13/02/2026</t>
        </is>
      </c>
      <c r="C13" s="72" t="inlineStr">
        <is>
          <t>Port Qasim</t>
        </is>
      </c>
      <c r="D13" s="72" t="inlineStr">
        <is>
          <t>Lahore Dry Port</t>
        </is>
      </c>
      <c r="E13" s="73" t="n">
        <v>14000</v>
      </c>
      <c r="F13" s="73" t="n">
        <v>112000</v>
      </c>
      <c r="G13" s="72" t="inlineStr">
        <is>
          <t>DELIVERED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5" min="1" max="1"/>
    <col width="14" customWidth="1" style="55" min="2" max="2"/>
    <col width="24" customWidth="1" style="55" min="3" max="3"/>
    <col width="16" customWidth="1" style="55" min="4" max="4"/>
    <col width="14" customWidth="1" style="55" min="5" max="5"/>
    <col width="20" customWidth="1" style="55" min="6" max="6"/>
    <col width="12" customWidth="1" style="55" min="7" max="7"/>
  </cols>
  <sheetData>
    <row r="1" ht="15" customHeight="1" s="56">
      <c r="A1" s="74" t="inlineStr">
        <is>
          <t>Pakistan Railways Freight — Consignment Register</t>
        </is>
      </c>
    </row>
    <row r="2" ht="15" customHeight="1" s="56">
      <c r="A2" s="75" t="inlineStr">
        <is>
          <t>Period: February 2026   |   Weights in TONS</t>
        </is>
      </c>
    </row>
    <row r="3" ht="31.5" customHeight="1" s="56">
      <c r="A3" s="71" t="inlineStr">
        <is>
          <t>Consignment No</t>
        </is>
      </c>
      <c r="B3" s="71" t="inlineStr">
        <is>
          <t>Dispatch Date</t>
        </is>
      </c>
      <c r="C3" s="71" t="inlineStr">
        <is>
          <t>From Station</t>
        </is>
      </c>
      <c r="D3" s="71" t="inlineStr">
        <is>
          <t>To Station</t>
        </is>
      </c>
      <c r="E3" s="71" t="inlineStr">
        <is>
          <t>Weight (Tons)</t>
        </is>
      </c>
      <c r="F3" s="71" t="inlineStr">
        <is>
          <t>Freight Charges (PKR)</t>
        </is>
      </c>
      <c r="G3" s="71" t="inlineStr">
        <is>
          <t>Status</t>
        </is>
      </c>
    </row>
    <row r="4" ht="15" customHeight="1" s="56">
      <c r="A4" s="72" t="n">
        <v>45012</v>
      </c>
      <c r="B4" s="76" t="n">
        <v>46056</v>
      </c>
      <c r="C4" s="72" t="inlineStr">
        <is>
          <t>Karachi Cantt</t>
        </is>
      </c>
      <c r="D4" s="72" t="inlineStr">
        <is>
          <t>Lahore</t>
        </is>
      </c>
      <c r="E4" s="77" t="n">
        <v>32.5</v>
      </c>
      <c r="F4" s="73" t="n">
        <v>285000</v>
      </c>
      <c r="G4" s="72" t="inlineStr">
        <is>
          <t>Delivered</t>
        </is>
      </c>
    </row>
    <row r="5" ht="15" customHeight="1" s="56">
      <c r="A5" s="72" t="n">
        <v>45013</v>
      </c>
      <c r="B5" s="76" t="n">
        <v>46056</v>
      </c>
      <c r="C5" s="72" t="inlineStr">
        <is>
          <t>Karachi Cantt</t>
        </is>
      </c>
      <c r="D5" s="72" t="inlineStr">
        <is>
          <t>Rawalpindi</t>
        </is>
      </c>
      <c r="E5" s="77" t="n">
        <v>28.75</v>
      </c>
      <c r="F5" s="73" t="n">
        <v>301000</v>
      </c>
      <c r="G5" s="72" t="inlineStr">
        <is>
          <t>delivered</t>
        </is>
      </c>
    </row>
    <row r="6" ht="15" customHeight="1" s="56">
      <c r="A6" s="72" t="n">
        <v>45014</v>
      </c>
      <c r="B6" s="76" t="n">
        <v>46057</v>
      </c>
      <c r="C6" s="72" t="inlineStr">
        <is>
          <t>Pipri Marshalling Yard</t>
        </is>
      </c>
      <c r="D6" s="72" t="inlineStr">
        <is>
          <t>Faisalabad</t>
        </is>
      </c>
      <c r="E6" s="77" t="n">
        <v>30</v>
      </c>
      <c r="F6" s="73" t="n">
        <v>262000</v>
      </c>
      <c r="G6" s="72" t="inlineStr">
        <is>
          <t>In transit</t>
        </is>
      </c>
    </row>
    <row r="7" ht="15" customHeight="1" s="56">
      <c r="A7" s="72" t="n">
        <v>45015</v>
      </c>
      <c r="B7" s="76" t="n">
        <v>46058</v>
      </c>
      <c r="C7" s="72" t="inlineStr">
        <is>
          <t>Karachi Cantt</t>
        </is>
      </c>
      <c r="D7" s="72" t="inlineStr">
        <is>
          <t>Multan</t>
        </is>
      </c>
      <c r="E7" s="77" t="n">
        <v>26.5</v>
      </c>
      <c r="F7" s="73" t="n">
        <v>198000</v>
      </c>
      <c r="G7" s="72" t="inlineStr">
        <is>
          <t xml:space="preserve"> Delivered</t>
        </is>
      </c>
    </row>
    <row r="8" ht="15" customHeight="1" s="56">
      <c r="A8" s="72" t="n">
        <v>45016</v>
      </c>
      <c r="B8" s="76" t="n">
        <v>46059</v>
      </c>
      <c r="C8" s="72" t="inlineStr">
        <is>
          <t>Pipri Marshalling Yard</t>
        </is>
      </c>
      <c r="D8" s="72" t="inlineStr">
        <is>
          <t>Lahore</t>
        </is>
      </c>
      <c r="E8" s="77" t="n">
        <v>31.25</v>
      </c>
      <c r="F8" s="73" t="n">
        <v>276000</v>
      </c>
      <c r="G8" s="72" t="inlineStr">
        <is>
          <t>DELAYED</t>
        </is>
      </c>
    </row>
    <row r="9" ht="15" customHeight="1" s="56">
      <c r="A9" s="72" t="n">
        <v>45017</v>
      </c>
      <c r="B9" s="76" t="n">
        <v>46060</v>
      </c>
      <c r="C9" s="72" t="inlineStr">
        <is>
          <t>Karachi Cantt</t>
        </is>
      </c>
      <c r="D9" s="72" t="inlineStr">
        <is>
          <t>Peshawar Cantt</t>
        </is>
      </c>
      <c r="E9" s="77" t="n">
        <v>29</v>
      </c>
      <c r="F9" s="73" t="n">
        <v>334000</v>
      </c>
      <c r="G9" s="72" t="inlineStr">
        <is>
          <t xml:space="preserve">Delivered </t>
        </is>
      </c>
    </row>
    <row r="10" ht="15" customHeight="1" s="56">
      <c r="A10" s="72" t="n">
        <v>45018</v>
      </c>
      <c r="B10" s="76" t="n">
        <v>46062</v>
      </c>
      <c r="C10" s="72" t="inlineStr">
        <is>
          <t>Pipri Marshalling Yard</t>
        </is>
      </c>
      <c r="D10" s="72" t="inlineStr">
        <is>
          <t>Rawalpindi</t>
        </is>
      </c>
      <c r="E10" s="77" t="n">
        <v>27.5</v>
      </c>
      <c r="F10" s="73" t="n">
        <v>289000</v>
      </c>
      <c r="G10" s="72" t="inlineStr">
        <is>
          <t>delayed</t>
        </is>
      </c>
    </row>
    <row r="11" ht="15" customHeight="1" s="56">
      <c r="A11" s="72" t="n">
        <v>45019</v>
      </c>
      <c r="B11" s="76" t="n">
        <v>46063</v>
      </c>
      <c r="C11" s="72" t="inlineStr">
        <is>
          <t>Karachi Cantt</t>
        </is>
      </c>
      <c r="D11" s="72" t="inlineStr">
        <is>
          <t>Lahore</t>
        </is>
      </c>
      <c r="E11" s="77" t="n">
        <v>33</v>
      </c>
      <c r="F11" s="73" t="n">
        <v>291000</v>
      </c>
      <c r="G11" s="72" t="inlineStr">
        <is>
          <t>Delivered</t>
        </is>
      </c>
    </row>
    <row r="12" ht="15" customHeight="1" s="56">
      <c r="A12" s="72" t="n">
        <v>45020</v>
      </c>
      <c r="B12" s="76" t="n">
        <v>46064</v>
      </c>
      <c r="C12" s="72" t="inlineStr">
        <is>
          <t>Karachi Cantt</t>
        </is>
      </c>
      <c r="D12" s="72" t="inlineStr">
        <is>
          <t>Sukkur</t>
        </is>
      </c>
      <c r="E12" s="77" t="n">
        <v>28.25</v>
      </c>
      <c r="F12" s="73" t="n">
        <v>142000</v>
      </c>
      <c r="G12" s="72" t="inlineStr">
        <is>
          <t>in Transit</t>
        </is>
      </c>
    </row>
    <row r="13" ht="15" customHeight="1" s="56">
      <c r="A13" s="72" t="n">
        <v>45021</v>
      </c>
      <c r="B13" s="76" t="n">
        <v>46065</v>
      </c>
      <c r="C13" s="72" t="inlineStr">
        <is>
          <t>Pipri Marshalling Yard</t>
        </is>
      </c>
      <c r="D13" s="72" t="inlineStr">
        <is>
          <t>Multan</t>
        </is>
      </c>
      <c r="E13" s="77" t="n">
        <v>28.5</v>
      </c>
      <c r="F13" s="73" t="n">
        <v>207000</v>
      </c>
      <c r="G13" s="72" t="inlineStr">
        <is>
          <t>delivered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CA3AF"/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5" min="1" max="1"/>
    <col width="12" customWidth="1" style="55" min="2" max="3"/>
    <col width="13" customWidth="1" style="55" min="4" max="4"/>
    <col width="11" customWidth="1" style="55" min="5" max="6"/>
    <col width="13" customWidth="1" style="55" min="7" max="7"/>
  </cols>
  <sheetData>
    <row r="1" ht="31.5" customHeight="1" s="56">
      <c r="A1" s="71" t="inlineStr">
        <is>
          <t>trip_id</t>
        </is>
      </c>
      <c r="B1" s="71" t="inlineStr">
        <is>
          <t>trip_date</t>
        </is>
      </c>
      <c r="C1" s="71" t="inlineStr">
        <is>
          <t>from_city</t>
        </is>
      </c>
      <c r="D1" s="71" t="inlineStr">
        <is>
          <t>to_city</t>
        </is>
      </c>
      <c r="E1" s="71" t="inlineStr">
        <is>
          <t>weight_kg</t>
        </is>
      </c>
      <c r="F1" s="71" t="inlineStr">
        <is>
          <t>cost_pkr</t>
        </is>
      </c>
      <c r="G1" s="71" t="inlineStr">
        <is>
          <t>status</t>
        </is>
      </c>
    </row>
    <row r="2" ht="15" customHeight="1" s="56">
      <c r="A2" s="72" t="inlineStr">
        <is>
          <t>rd-501</t>
        </is>
      </c>
      <c r="B2" s="72" t="inlineStr">
        <is>
          <t>2026-02-02</t>
        </is>
      </c>
      <c r="C2" s="72" t="inlineStr">
        <is>
          <t>Lahore</t>
        </is>
      </c>
      <c r="D2" s="72" t="inlineStr">
        <is>
          <t>Islamabad</t>
        </is>
      </c>
      <c r="E2" s="73" t="n">
        <v>6500</v>
      </c>
      <c r="F2" s="73" t="n">
        <v>58000</v>
      </c>
      <c r="G2" s="72" t="inlineStr">
        <is>
          <t>delivered</t>
        </is>
      </c>
    </row>
    <row r="3" ht="15" customHeight="1" s="56">
      <c r="A3" s="72" t="inlineStr">
        <is>
          <t>rd-502</t>
        </is>
      </c>
      <c r="B3" s="72" t="inlineStr">
        <is>
          <t>2026-02-02</t>
        </is>
      </c>
      <c r="C3" s="72" t="inlineStr">
        <is>
          <t>Karachi</t>
        </is>
      </c>
      <c r="D3" s="72" t="inlineStr">
        <is>
          <t>Hyderabad</t>
        </is>
      </c>
      <c r="E3" s="73" t="n">
        <v>7200</v>
      </c>
      <c r="F3" s="73" t="n">
        <v>41000</v>
      </c>
      <c r="G3" s="72" t="inlineStr">
        <is>
          <t>delivered</t>
        </is>
      </c>
    </row>
    <row r="4" ht="15" customHeight="1" s="56">
      <c r="A4" s="72" t="inlineStr">
        <is>
          <t>rd-503</t>
        </is>
      </c>
      <c r="B4" s="72" t="inlineStr">
        <is>
          <t>2026-02-03</t>
        </is>
      </c>
      <c r="C4" s="72" t="inlineStr">
        <is>
          <t>Lahore</t>
        </is>
      </c>
      <c r="D4" s="72" t="inlineStr">
        <is>
          <t>Faisalabad</t>
        </is>
      </c>
      <c r="E4" s="73" t="n">
        <v>5800</v>
      </c>
      <c r="F4" s="73" t="n">
        <v>32000</v>
      </c>
      <c r="G4" s="72" t="inlineStr">
        <is>
          <t xml:space="preserve">in transit </t>
        </is>
      </c>
    </row>
    <row r="5" ht="15" customHeight="1" s="56">
      <c r="A5" s="72" t="inlineStr">
        <is>
          <t>rd-504</t>
        </is>
      </c>
      <c r="B5" s="72" t="inlineStr">
        <is>
          <t>2026-02-04</t>
        </is>
      </c>
      <c r="C5" s="72" t="inlineStr">
        <is>
          <t>Multan</t>
        </is>
      </c>
      <c r="D5" s="72" t="inlineStr">
        <is>
          <t>Lahore</t>
        </is>
      </c>
      <c r="E5" s="73" t="n">
        <v>6900</v>
      </c>
      <c r="F5" s="73" t="n">
        <v>61000</v>
      </c>
      <c r="G5" s="72" t="inlineStr">
        <is>
          <t>delivered</t>
        </is>
      </c>
    </row>
    <row r="6" ht="15" customHeight="1" s="56">
      <c r="A6" s="72" t="inlineStr">
        <is>
          <t>rd-505</t>
        </is>
      </c>
      <c r="B6" s="72" t="inlineStr">
        <is>
          <t>2026-02-05</t>
        </is>
      </c>
      <c r="C6" s="72" t="inlineStr">
        <is>
          <t>Islamabad</t>
        </is>
      </c>
      <c r="D6" s="72" t="inlineStr">
        <is>
          <t>Peshawar</t>
        </is>
      </c>
      <c r="E6" s="73" t="n">
        <v>6100</v>
      </c>
      <c r="F6" s="73" t="n">
        <v>47000</v>
      </c>
      <c r="G6" s="72" t="inlineStr">
        <is>
          <t>delivered</t>
        </is>
      </c>
    </row>
    <row r="7" ht="15" customHeight="1" s="56">
      <c r="A7" s="72" t="inlineStr">
        <is>
          <t>rd-505</t>
        </is>
      </c>
      <c r="B7" s="72" t="inlineStr">
        <is>
          <t>2026-02-05</t>
        </is>
      </c>
      <c r="C7" s="72" t="inlineStr">
        <is>
          <t>Islamabad</t>
        </is>
      </c>
      <c r="D7" s="72" t="inlineStr">
        <is>
          <t>Peshawar</t>
        </is>
      </c>
      <c r="E7" s="73" t="n">
        <v>6100</v>
      </c>
      <c r="F7" s="73" t="n">
        <v>47000</v>
      </c>
      <c r="G7" s="72" t="inlineStr">
        <is>
          <t>delivered</t>
        </is>
      </c>
    </row>
    <row r="8" ht="15" customHeight="1" s="56">
      <c r="A8" s="72" t="inlineStr">
        <is>
          <t>rd-506</t>
        </is>
      </c>
      <c r="B8" s="72" t="inlineStr">
        <is>
          <t>2026-02-06</t>
        </is>
      </c>
      <c r="C8" s="72" t="inlineStr">
        <is>
          <t>Karachi</t>
        </is>
      </c>
      <c r="D8" s="72" t="inlineStr">
        <is>
          <t>Sukkur</t>
        </is>
      </c>
      <c r="E8" s="73" t="n">
        <v>7400</v>
      </c>
      <c r="F8" s="73" t="n">
        <v>83000</v>
      </c>
      <c r="G8" s="72" t="inlineStr">
        <is>
          <t>delayed</t>
        </is>
      </c>
    </row>
    <row r="9" ht="15" customHeight="1" s="56">
      <c r="A9" s="72" t="inlineStr">
        <is>
          <t>rd-507</t>
        </is>
      </c>
      <c r="B9" s="72" t="inlineStr">
        <is>
          <t>2026-02-07</t>
        </is>
      </c>
      <c r="C9" s="72" t="inlineStr">
        <is>
          <t>Lahore</t>
        </is>
      </c>
      <c r="D9" s="72" t="inlineStr">
        <is>
          <t>Sialkot</t>
        </is>
      </c>
      <c r="E9" s="73" t="n">
        <v>5900</v>
      </c>
      <c r="F9" s="73" t="n">
        <v>39000</v>
      </c>
      <c r="G9" s="72" t="inlineStr">
        <is>
          <t>delivered</t>
        </is>
      </c>
    </row>
    <row r="10" ht="15" customHeight="1" s="56">
      <c r="A10" s="72" t="inlineStr">
        <is>
          <t>rd-508</t>
        </is>
      </c>
      <c r="B10" s="72" t="inlineStr">
        <is>
          <t>2026-02-09</t>
        </is>
      </c>
      <c r="C10" s="72" t="inlineStr">
        <is>
          <t>Quetta</t>
        </is>
      </c>
      <c r="D10" s="72" t="inlineStr">
        <is>
          <t>Karachi</t>
        </is>
      </c>
      <c r="E10" s="73" t="n">
        <v>6600</v>
      </c>
      <c r="F10" s="73" t="n">
        <v>92000</v>
      </c>
      <c r="G10" s="72" t="inlineStr">
        <is>
          <t>in transit</t>
        </is>
      </c>
    </row>
    <row r="11" ht="15" customHeight="1" s="56">
      <c r="A11" s="72" t="inlineStr">
        <is>
          <t>rd-509</t>
        </is>
      </c>
      <c r="B11" s="72" t="inlineStr">
        <is>
          <t>2026-02-10</t>
        </is>
      </c>
      <c r="C11" s="72" t="inlineStr">
        <is>
          <t>Faisalabad</t>
        </is>
      </c>
      <c r="D11" s="72" t="inlineStr">
        <is>
          <t>Multan</t>
        </is>
      </c>
      <c r="E11" s="73" t="n">
        <v>6200</v>
      </c>
      <c r="F11" s="73" t="n">
        <v>44000</v>
      </c>
      <c r="G11" s="72" t="inlineStr">
        <is>
          <t xml:space="preserve">delivered </t>
        </is>
      </c>
    </row>
    <row r="12" ht="15" customHeight="1" s="56">
      <c r="A12" s="72" t="inlineStr">
        <is>
          <t>rd-510</t>
        </is>
      </c>
      <c r="B12" s="72" t="inlineStr">
        <is>
          <t>2026-02-11</t>
        </is>
      </c>
      <c r="C12" s="72" t="inlineStr">
        <is>
          <t>Lahore</t>
        </is>
      </c>
      <c r="D12" s="72" t="inlineStr">
        <is>
          <t>Gujranwala</t>
        </is>
      </c>
      <c r="E12" s="73" t="n">
        <v>7000</v>
      </c>
      <c r="F12" s="73" t="n">
        <v>27000</v>
      </c>
      <c r="G12" s="72" t="inlineStr">
        <is>
          <t>delivered</t>
        </is>
      </c>
    </row>
    <row r="13" ht="15" customHeight="1" s="56">
      <c r="A13" s="72" t="inlineStr">
        <is>
          <t>rd-511</t>
        </is>
      </c>
      <c r="B13" s="72" t="inlineStr">
        <is>
          <t>2026-02-12</t>
        </is>
      </c>
      <c r="C13" s="72" t="inlineStr">
        <is>
          <t>Karachi</t>
        </is>
      </c>
      <c r="D13" s="72" t="inlineStr">
        <is>
          <t>Hyderabad</t>
        </is>
      </c>
      <c r="E13" s="73" t="n">
        <v>5500</v>
      </c>
      <c r="F13" s="73" t="n">
        <v>36000</v>
      </c>
      <c r="G13" s="72" t="inlineStr">
        <is>
          <t xml:space="preserve"> in transit</t>
        </is>
      </c>
    </row>
    <row r="14" ht="15" customHeight="1" s="56">
      <c r="A14" s="72" t="inlineStr">
        <is>
          <t>rd-512</t>
        </is>
      </c>
      <c r="B14" s="72" t="inlineStr">
        <is>
          <t>2026-02-13</t>
        </is>
      </c>
      <c r="C14" s="72" t="inlineStr">
        <is>
          <t>Rawalpindi</t>
        </is>
      </c>
      <c r="D14" s="72" t="inlineStr">
        <is>
          <t>Abbottabad</t>
        </is>
      </c>
      <c r="E14" s="73" t="n">
        <v>5800</v>
      </c>
      <c r="F14" s="73" t="n">
        <v>45000</v>
      </c>
      <c r="G14" s="72" t="inlineStr">
        <is>
          <t>delivered</t>
        </is>
      </c>
    </row>
    <row r="15" ht="15" customHeight="1" s="56">
      <c r="A15" s="72" t="n"/>
      <c r="B15" s="72" t="n"/>
      <c r="C15" s="72" t="n"/>
      <c r="D15" s="72" t="n"/>
      <c r="E15" s="73" t="n"/>
      <c r="F15" s="73" t="n"/>
      <c r="G15" s="72" t="n"/>
    </row>
    <row r="16" ht="15" customHeight="1" s="56">
      <c r="A16" s="72" t="inlineStr">
        <is>
          <t>TOTAL</t>
        </is>
      </c>
      <c r="B16" s="72" t="n"/>
      <c r="C16" s="72" t="n"/>
      <c r="D16" s="72" t="n"/>
      <c r="E16" s="73" t="n">
        <v>83000</v>
      </c>
      <c r="F16" s="73" t="n">
        <v>652000</v>
      </c>
      <c r="G16" s="7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5" min="1" max="1"/>
    <col width="11" customWidth="1" style="55" min="2" max="2"/>
    <col width="20" customWidth="1" style="55" min="3" max="3"/>
    <col width="40" customWidth="1" style="55" min="4" max="5"/>
    <col width="12" customWidth="1" style="55" min="6" max="6"/>
    <col width="34" customWidth="1" style="55" min="7" max="7"/>
  </cols>
  <sheetData>
    <row r="1" ht="27.75" customHeight="1" s="56">
      <c r="A1" s="57" t="inlineStr">
        <is>
          <t>Task 1 · Data Detective (8 min)</t>
        </is>
      </c>
    </row>
    <row r="2" ht="43.5" customHeight="1" s="56">
      <c r="A2" s="58" t="inlineStr">
        <is>
          <t>Open Marine_Raw, Rail_Raw and Road_Raw. Find at least 10 problems that would break or silently corrupt a warehouse load. For each one say what would go wrong and in which tier you would fix it (Source / Staging / Storage / Presentation). The first row is an example.</t>
        </is>
      </c>
    </row>
    <row r="4" ht="31.5" customHeight="1" s="56">
      <c r="A4" s="62" t="inlineStr">
        <is>
          <t>#</t>
        </is>
      </c>
      <c r="B4" s="62" t="inlineStr">
        <is>
          <t>Source file</t>
        </is>
      </c>
      <c r="C4" s="62" t="inlineStr">
        <is>
          <t>Where (column / row)</t>
        </is>
      </c>
      <c r="D4" s="62" t="inlineStr">
        <is>
          <t>Problem you found</t>
        </is>
      </c>
      <c r="E4" s="62" t="inlineStr">
        <is>
          <t>What goes wrong if loaded as-is?</t>
        </is>
      </c>
      <c r="F4" s="62" t="inlineStr">
        <is>
          <t>Fix in which tier?</t>
        </is>
      </c>
      <c r="G4" s="62" t="inlineStr">
        <is>
          <t>How would you fix it?</t>
        </is>
      </c>
    </row>
    <row r="5" ht="30" customHeight="1" s="56">
      <c r="A5" s="63" t="n">
        <v>1</v>
      </c>
      <c r="B5" s="64" t="inlineStr">
        <is>
          <t>Marine</t>
        </is>
      </c>
      <c r="C5" s="64" t="inlineStr">
        <is>
          <t>Ship_Date (all rows)</t>
        </is>
      </c>
      <c r="D5" s="64" t="inlineStr">
        <is>
          <t>Dates are text in dd/mm/yyyy</t>
        </is>
      </c>
      <c r="E5" s="64" t="inlineStr">
        <is>
          <t>A US-locale tool reads 03/02 as 2 March; 13/02/2026 becomes an error</t>
        </is>
      </c>
      <c r="F5" s="64" t="inlineStr">
        <is>
          <t>Staging</t>
        </is>
      </c>
      <c r="G5" s="64" t="inlineStr">
        <is>
          <t>Convert to a real date using the UK locale</t>
        </is>
      </c>
    </row>
    <row r="6" ht="30" customHeight="1" s="56">
      <c r="A6" s="63" t="n">
        <v>2</v>
      </c>
      <c r="B6" s="67" t="inlineStr">
        <is>
          <t>Rail</t>
        </is>
      </c>
      <c r="C6" s="67" t="inlineStr">
        <is>
          <t>Weight (Tons), all rows</t>
        </is>
      </c>
      <c r="D6" s="67" t="inlineStr">
        <is>
          <t>Weights are in TONS, not kg</t>
        </is>
      </c>
      <c r="E6" s="67" t="inlineStr">
        <is>
          <t>every rail total is 1,000x too small — Finance's 283.70 t</t>
        </is>
      </c>
      <c r="F6" s="67" t="inlineStr">
        <is>
          <t>Staging</t>
        </is>
      </c>
      <c r="G6" s="67" t="inlineStr">
        <is>
          <t>Multiply by 1000 into WeightKG in the rail query</t>
        </is>
      </c>
    </row>
    <row r="7" ht="30" customHeight="1" s="56">
      <c r="A7" s="63" t="n">
        <v>3</v>
      </c>
      <c r="B7" s="67" t="inlineStr">
        <is>
          <t>Rail</t>
        </is>
      </c>
      <c r="C7" s="67" t="inlineStr">
        <is>
          <t>Rows 1-2 above the header</t>
        </is>
      </c>
      <c r="D7" s="67" t="inlineStr">
        <is>
          <t>Two title rows sit above the real header</t>
        </is>
      </c>
      <c r="E7" s="67" t="inlineStr">
        <is>
          <t>auto Promoted Headers grabs the wrong row; columns misalign</t>
        </is>
      </c>
      <c r="F7" s="67" t="inlineStr">
        <is>
          <t>Staging</t>
        </is>
      </c>
      <c r="G7" s="67" t="inlineStr">
        <is>
          <t>Remove top 2 rows, then promote row 3 as headers</t>
        </is>
      </c>
    </row>
    <row r="8" ht="30" customHeight="1" s="56">
      <c r="A8" s="63" t="n">
        <v>4</v>
      </c>
      <c r="B8" s="67" t="inlineStr">
        <is>
          <t>Rail</t>
        </is>
      </c>
      <c r="C8" s="67" t="inlineStr">
        <is>
          <t>Consignment No (45012…)</t>
        </is>
      </c>
      <c r="D8" s="67" t="inlineStr">
        <is>
          <t>Numeric IDs while other files use text IDs</t>
        </is>
      </c>
      <c r="E8" s="67" t="inlineStr">
        <is>
          <t>joins and appends mismatch on type; RL-45012 never equals 45012</t>
        </is>
      </c>
      <c r="F8" s="67" t="inlineStr">
        <is>
          <t>Staging</t>
        </is>
      </c>
      <c r="G8" s="67" t="inlineStr">
        <is>
          <t>Prefix RL- and store ShipmentID as text</t>
        </is>
      </c>
    </row>
    <row r="9" ht="30" customHeight="1" s="56">
      <c r="A9" s="63" t="n">
        <v>5</v>
      </c>
      <c r="B9" s="67" t="inlineStr">
        <is>
          <t>Rail + Marine + Road</t>
        </is>
      </c>
      <c r="C9" s="67" t="inlineStr">
        <is>
          <t>Status column</t>
        </is>
      </c>
      <c r="D9" s="67" t="inlineStr">
        <is>
          <t>Mixed casing: Delivered / delivered / DELAYED</t>
        </is>
      </c>
      <c r="E9" s="67" t="inlineStr">
        <is>
          <t>GROUP BY Status splits one status into three rows</t>
        </is>
      </c>
      <c r="F9" s="67" t="inlineStr">
        <is>
          <t>Staging</t>
        </is>
      </c>
      <c r="G9" s="67" t="inlineStr">
        <is>
          <t>TRIM the value, then PROPER-case it everywhere</t>
        </is>
      </c>
    </row>
    <row r="10" ht="30" customHeight="1" s="56">
      <c r="A10" s="63" t="n">
        <v>6</v>
      </c>
      <c r="B10" s="67" t="inlineStr">
        <is>
          <t>Marine</t>
        </is>
      </c>
      <c r="C10" s="67" t="inlineStr">
        <is>
          <t>Status, e.g. MR-1002</t>
        </is>
      </c>
      <c r="D10" s="67" t="inlineStr">
        <is>
          <t>Leading/trailing spaces: 'DELIVERED '</t>
        </is>
      </c>
      <c r="E10" s="67" t="inlineStr">
        <is>
          <t>invisible mismatch — looks identical, groups apart</t>
        </is>
      </c>
      <c r="F10" s="67" t="inlineStr">
        <is>
          <t>Staging</t>
        </is>
      </c>
      <c r="G10" s="67" t="inlineStr">
        <is>
          <t>TRIM all text on the way in</t>
        </is>
      </c>
    </row>
    <row r="11" ht="30" customHeight="1" s="56">
      <c r="A11" s="63" t="n">
        <v>7</v>
      </c>
      <c r="B11" s="67" t="inlineStr">
        <is>
          <t>Road</t>
        </is>
      </c>
      <c r="C11" s="67" t="inlineStr">
        <is>
          <t>trip_id (rd-501…)</t>
        </is>
      </c>
      <c r="D11" s="67" t="inlineStr">
        <is>
          <t>Lowercase IDs against the contract's uppercase</t>
        </is>
      </c>
      <c r="E11" s="67" t="inlineStr">
        <is>
          <t>ID format breaks the contract; dedupe keys collide</t>
        </is>
      </c>
      <c r="F11" s="67" t="inlineStr">
        <is>
          <t>Staging</t>
        </is>
      </c>
      <c r="G11" s="67" t="inlineStr">
        <is>
          <t>UPPER the IDs to RD-501</t>
        </is>
      </c>
    </row>
    <row r="12" ht="30" customHeight="1" s="56">
      <c r="A12" s="63" t="n">
        <v>8</v>
      </c>
      <c r="B12" s="67" t="inlineStr">
        <is>
          <t>Road</t>
        </is>
      </c>
      <c r="C12" s="67" t="inlineStr">
        <is>
          <t>rd-505, rows 6-7</t>
        </is>
      </c>
      <c r="D12" s="67" t="inlineStr">
        <is>
          <t>Exact duplicate row</t>
        </is>
      </c>
      <c r="E12" s="67" t="inlineStr">
        <is>
          <t>double-counts 6,100 kg — this is Sales' 584.75 t</t>
        </is>
      </c>
      <c r="F12" s="67" t="inlineStr">
        <is>
          <t>Staging</t>
        </is>
      </c>
      <c r="G12" s="67" t="inlineStr">
        <is>
          <t>Remove duplicates on ShipmentID, keep first</t>
        </is>
      </c>
    </row>
    <row r="13" ht="30" customHeight="1" s="56">
      <c r="A13" s="63" t="n">
        <v>9</v>
      </c>
      <c r="B13" s="67" t="inlineStr">
        <is>
          <t>Road</t>
        </is>
      </c>
      <c r="C13" s="67" t="inlineStr">
        <is>
          <t>Row 15</t>
        </is>
      </c>
      <c r="D13" s="67" t="inlineStr">
        <is>
          <t>Completely blank row</t>
        </is>
      </c>
      <c r="E13" s="67" t="inlineStr">
        <is>
          <t>a null 'shipment' lands in the model</t>
        </is>
      </c>
      <c r="F13" s="67" t="inlineStr">
        <is>
          <t>Staging</t>
        </is>
      </c>
      <c r="G13" s="67" t="inlineStr">
        <is>
          <t>Remove blank rows in the query</t>
        </is>
      </c>
    </row>
    <row r="14" ht="30" customHeight="1" s="56">
      <c r="A14" s="63" t="n">
        <v>10</v>
      </c>
      <c r="B14" s="67" t="inlineStr">
        <is>
          <t>Road</t>
        </is>
      </c>
      <c r="C14" s="67" t="inlineStr">
        <is>
          <t>TOTAL row</t>
        </is>
      </c>
      <c r="D14" s="67" t="inlineStr">
        <is>
          <t>A summary row that was never a shipment</t>
        </is>
      </c>
      <c r="E14" s="67" t="inlineStr">
        <is>
          <t>inflates the total by 83,000 kg — Operations' 661.65 t</t>
        </is>
      </c>
      <c r="F14" s="67" t="inlineStr">
        <is>
          <t>Staging</t>
        </is>
      </c>
      <c r="G14" s="67" t="inlineStr">
        <is>
          <t>Filter out non-data rows; never let aggregates into the fact load</t>
        </is>
      </c>
    </row>
    <row r="15" ht="30" customHeight="1" s="56">
      <c r="A15" s="63" t="n">
        <v>11</v>
      </c>
      <c r="B15" s="67" t="inlineStr">
        <is>
          <t>All three files</t>
        </is>
      </c>
      <c r="C15" s="67" t="inlineStr">
        <is>
          <t>Column names</t>
        </is>
      </c>
      <c r="D15" s="67" t="inlineStr">
        <is>
          <t>Different names per file (Shipment_ID / Consignment No / trip_id)</t>
        </is>
      </c>
      <c r="E15" s="67" t="inlineStr">
        <is>
          <t>Append matches by name — mismatches silently create extra columns</t>
        </is>
      </c>
      <c r="F15" s="67" t="inlineStr">
        <is>
          <t>Staging</t>
        </is>
      </c>
      <c r="G15" s="67" t="inlineStr">
        <is>
          <t>Rename every column to the contract before appending</t>
        </is>
      </c>
    </row>
    <row r="16" ht="30" customHeight="1" s="56">
      <c r="A16" s="63" t="n">
        <v>12</v>
      </c>
      <c r="B16" s="67" t="inlineStr">
        <is>
          <t>Road</t>
        </is>
      </c>
      <c r="C16" s="67" t="inlineStr">
        <is>
          <t>trip_date (text)</t>
        </is>
      </c>
      <c r="D16" s="67" t="inlineStr">
        <is>
          <t>Dates stored as text '2026-02-02' while rail has real dates</t>
        </is>
      </c>
      <c r="E16" s="67" t="inlineStr">
        <is>
          <t>sorts as text; mixing types breaks the date column</t>
        </is>
      </c>
      <c r="F16" s="67" t="inlineStr">
        <is>
          <t>Staging</t>
        </is>
      </c>
      <c r="G16" s="67" t="inlineStr">
        <is>
          <t>DATEVALUE to a real date in staging</t>
        </is>
      </c>
    </row>
    <row r="18" ht="15" customHeight="1" s="56">
      <c r="D18" s="78" t="inlineStr">
        <is>
          <t>Issues found:</t>
        </is>
      </c>
      <c r="E18" s="65">
        <f>COUNTA(D5:D16)</f>
        <v/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5" min="1" max="1"/>
    <col width="44" customWidth="1" style="55" min="2" max="2"/>
    <col width="22" customWidth="1" style="55" min="3" max="3"/>
    <col width="12" customWidth="1" style="55" min="4" max="4"/>
    <col width="16" customWidth="1" style="55" min="5" max="5"/>
    <col width="34" customWidth="1" style="55" min="6" max="6"/>
  </cols>
  <sheetData>
    <row r="1" ht="27.75" customHeight="1" s="56">
      <c r="A1" s="57" t="inlineStr">
        <is>
          <t>Task 2 · The Stovepipe Game (7 min)</t>
        </is>
      </c>
    </row>
    <row r="2" ht="43.5" customHeight="1" s="56">
      <c r="A2" s="58" t="inlineStr">
        <is>
          <t>Each team member plays one department that built its OWN mini-warehouse with its OWN rules. Write a formula in the yellow cell that adds up the raw sheets following ONLY your department's rule. Then compare.</t>
        </is>
      </c>
    </row>
    <row r="4" ht="31.5" customHeight="1" s="56">
      <c r="A4" s="62" t="inlineStr">
        <is>
          <t>Department</t>
        </is>
      </c>
      <c r="B4" s="62" t="inlineStr">
        <is>
          <t>Their (flawed) rule</t>
        </is>
      </c>
      <c r="C4" s="62" t="inlineStr">
        <is>
          <t>Your formula → total kg</t>
        </is>
      </c>
      <c r="D4" s="62" t="inlineStr">
        <is>
          <t>Tonnes</t>
        </is>
      </c>
      <c r="E4" s="62" t="inlineStr">
        <is>
          <t>Difference from truth (t)</t>
        </is>
      </c>
      <c r="F4" s="62" t="inlineStr">
        <is>
          <t>Hint</t>
        </is>
      </c>
    </row>
    <row r="5" ht="43.5" customHeight="1" s="56">
      <c r="A5" s="65" t="inlineStr">
        <is>
          <t>Operations</t>
        </is>
      </c>
      <c r="B5" s="64" t="inlineStr">
        <is>
          <t>Removed the duplicate rd-505 ✔ but forgot to remove the TOTAL row ✘. Rail converted to kg ✔.</t>
        </is>
      </c>
      <c r="C5" s="79">
        <f>SUM(Marine_Raw!E2:E13)+SUM(Rail_Raw!E4:E13)*1000+(SUM(Road_Raw!E2:E16)-6100)</f>
        <v/>
      </c>
      <c r="D5" s="80">
        <f>IF(C5="","",C5/1000)</f>
        <v/>
      </c>
      <c r="E5" s="81">
        <f>IF(C5="","",D5-$D$9)</f>
        <v/>
      </c>
      <c r="F5" s="82" t="inlineStr">
        <is>
          <t>SUM the whole Road column (TOTAL included) then subtract the duplicate row</t>
        </is>
      </c>
    </row>
    <row r="6" ht="43.5" customHeight="1" s="56">
      <c r="A6" s="65" t="inlineStr">
        <is>
          <t>Finance</t>
        </is>
      </c>
      <c r="B6" s="64" t="inlineStr">
        <is>
          <t>Cleaned Road correctly ✔ but loaded Rail tonnes as if they were kg ✘.</t>
        </is>
      </c>
      <c r="C6" s="79">
        <f>SUM(Marine_Raw!E2:E13)+SUM(Rail_Raw!E4:E13)+(SUM(Road_Raw!E2:E16)-83000-6100)</f>
        <v/>
      </c>
      <c r="D6" s="80">
        <f>IF(C6="","",C6/1000)</f>
        <v/>
      </c>
      <c r="E6" s="81">
        <f>IF(C6="","",D6-$D$9)</f>
        <v/>
      </c>
      <c r="F6" s="82" t="inlineStr">
        <is>
          <t>Don't multiply Rail by 1000</t>
        </is>
      </c>
    </row>
    <row r="7" ht="43.5" customHeight="1" s="56">
      <c r="A7" s="65" t="inlineStr">
        <is>
          <t>Sales</t>
        </is>
      </c>
      <c r="B7" s="64" t="inlineStr">
        <is>
          <t>Removed the TOTAL row ✔ but kept the duplicate trip ✘. Rail converted to kg ✔.</t>
        </is>
      </c>
      <c r="C7" s="79">
        <f>SUM(Marine_Raw!E2:E13)+SUM(Rail_Raw!E4:E13)*1000+(SUM(Road_Raw!E2:E16)-83000)</f>
        <v/>
      </c>
      <c r="D7" s="80">
        <f>IF(C7="","",C7/1000)</f>
        <v/>
      </c>
      <c r="E7" s="81">
        <f>IF(C7="","",D7-$D$9)</f>
        <v/>
      </c>
      <c r="F7" s="82" t="inlineStr">
        <is>
          <t>Road rows 2–14 include the duplicate</t>
        </is>
      </c>
    </row>
    <row r="9" ht="23.85" customHeight="1" s="56">
      <c r="A9" s="83" t="inlineStr">
        <is>
          <t>Official truth</t>
        </is>
      </c>
      <c r="B9" s="84" t="inlineStr">
        <is>
          <t>One staging area, one set of rules (dependent / conformed marts)</t>
        </is>
      </c>
      <c r="C9" s="85" t="n">
        <v>578650</v>
      </c>
      <c r="D9" s="86">
        <f>C9/1000</f>
        <v/>
      </c>
      <c r="E9" s="84" t="n"/>
      <c r="F9" s="84" t="n"/>
    </row>
    <row r="11" ht="15" customHeight="1" s="56">
      <c r="A11" s="59" t="inlineStr">
        <is>
          <t>Discuss (write one line each)</t>
        </is>
      </c>
    </row>
    <row r="12" ht="15" customHeight="1" s="56">
      <c r="A12" s="65" t="inlineStr">
        <is>
          <t>Q1. All three teams were honest — each summed their own file with their own assumptions, and with no shared staging area there was no single rule to follow.</t>
        </is>
      </c>
      <c r="B12" s="87" t="n"/>
      <c r="C12" s="87" t="n"/>
      <c r="D12" s="87" t="n"/>
      <c r="E12" s="87" t="n"/>
      <c r="F12" s="88" t="n"/>
    </row>
    <row r="13" ht="30" customHeight="1" s="56">
      <c r="A13" s="67" t="inlineStr">
        <is>
          <t>Q2. Finance's — the tons-as-kg error is invisible: 283.70 t looks plausible, while a TOTAL row or duplicate can at least be spotted.</t>
        </is>
      </c>
      <c r="B13" s="87" t="n"/>
      <c r="C13" s="87" t="n"/>
      <c r="D13" s="87" t="n"/>
      <c r="E13" s="87" t="n"/>
      <c r="F13" s="88" t="n"/>
    </row>
    <row r="14" ht="15" customHeight="1" s="56">
      <c r="A14" s="65" t="inlineStr">
        <is>
          <t>Q3. Replace the three stovepipes with one staging area: one set of transformation rules that every department reads from.</t>
        </is>
      </c>
      <c r="B14" s="87" t="n"/>
      <c r="C14" s="87" t="n"/>
      <c r="D14" s="87" t="n"/>
      <c r="E14" s="87" t="n"/>
      <c r="F14" s="88" t="n"/>
    </row>
    <row r="15" ht="30" customHeight="1" s="56">
      <c r="A15" s="67" t="inlineStr">
        <is>
          <t>Q4. The business/data steward agrees what each figure means; the ETL engineer implements it once in staging.</t>
        </is>
      </c>
      <c r="B15" s="87" t="n"/>
      <c r="C15" s="87" t="n"/>
      <c r="D15" s="87" t="n"/>
      <c r="E15" s="87" t="n"/>
      <c r="F15" s="88" t="n"/>
    </row>
    <row r="16" ht="15" customHeight="1" s="56">
      <c r="A16" s="65" t="inlineStr">
        <is>
          <t>Q3. What architecture change makes all three report the same number?</t>
        </is>
      </c>
      <c r="B16" s="87" t="n"/>
      <c r="C16" s="87" t="n"/>
      <c r="D16" s="87" t="n"/>
      <c r="E16" s="87" t="n"/>
      <c r="F16" s="88" t="n"/>
    </row>
    <row r="17" ht="30" customHeight="1" s="56">
      <c r="A17" s="67" t="n"/>
      <c r="B17" s="87" t="n"/>
      <c r="C17" s="87" t="n"/>
      <c r="D17" s="87" t="n"/>
      <c r="E17" s="87" t="n"/>
      <c r="F17" s="88" t="n"/>
    </row>
    <row r="18" ht="15" customHeight="1" s="56">
      <c r="A18" s="65" t="inlineStr">
        <is>
          <t>Q4. Which role should decide the official definition (e.g. what counts as one shipment)?</t>
        </is>
      </c>
      <c r="B18" s="87" t="n"/>
      <c r="C18" s="87" t="n"/>
      <c r="D18" s="87" t="n"/>
      <c r="E18" s="87" t="n"/>
      <c r="F18" s="88" t="n"/>
    </row>
    <row r="19" ht="30" customHeight="1" s="56">
      <c r="A19" s="67" t="n"/>
      <c r="B19" s="87" t="n"/>
      <c r="C19" s="87" t="n"/>
      <c r="D19" s="87" t="n"/>
      <c r="E19" s="87" t="n"/>
      <c r="F19" s="88" t="n"/>
    </row>
  </sheetData>
  <mergeCells count="9">
    <mergeCell ref="A2:F2"/>
    <mergeCell ref="A16:F16"/>
    <mergeCell ref="A13:F13"/>
    <mergeCell ref="A14:F14"/>
    <mergeCell ref="A19:F19"/>
    <mergeCell ref="A17:F17"/>
    <mergeCell ref="A12:F12"/>
    <mergeCell ref="A18:F18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3a · Stage the Marine file</t>
        </is>
      </c>
    </row>
    <row r="2" ht="43.5" customHeight="1" s="56">
      <c r="A2" s="58" t="inlineStr">
        <is>
          <t>Write one formula in the first yellow cell of each column, then drag it down. Columns that are already filled are simple copies.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Shipment_ID</t>
        </is>
      </c>
      <c r="B4" s="71" t="inlineStr">
        <is>
          <t>Ship_Date</t>
        </is>
      </c>
      <c r="C4" s="71" t="inlineStr">
        <is>
          <t>Origin_Port</t>
        </is>
      </c>
      <c r="D4" s="71" t="inlineStr">
        <is>
          <t>Dest_Port</t>
        </is>
      </c>
      <c r="E4" s="71" t="inlineStr">
        <is>
          <t>Weight_KG</t>
        </is>
      </c>
      <c r="F4" s="71" t="inlineStr">
        <is>
          <t>Cost_PKR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R4" s="83" t="inlineStr">
        <is>
          <t>Hints</t>
        </is>
      </c>
    </row>
    <row r="5" ht="15" customHeight="1" s="56">
      <c r="A5" s="72" t="inlineStr">
        <is>
          <t>MR-1001</t>
        </is>
      </c>
      <c r="B5" s="72" t="inlineStr">
        <is>
          <t>01/02/2026</t>
        </is>
      </c>
      <c r="C5" s="72" t="inlineStr">
        <is>
          <t>Karachi Port</t>
        </is>
      </c>
      <c r="D5" s="72" t="inlineStr">
        <is>
          <t>Lahore Dry Port</t>
        </is>
      </c>
      <c r="E5" s="91" t="n">
        <v>18000</v>
      </c>
      <c r="F5" s="73" t="n">
        <v>142000</v>
      </c>
      <c r="G5" s="72" t="inlineStr">
        <is>
          <t>DELIVERED</t>
        </is>
      </c>
      <c r="H5" s="92">
        <f>A5</f>
        <v/>
      </c>
      <c r="I5" s="93">
        <f>DATE(RIGHT(B5,4),MID(B5,4,2),LEFT(B5,2))</f>
        <v/>
      </c>
      <c r="J5" s="92">
        <f>C5</f>
        <v/>
      </c>
      <c r="K5" s="92">
        <f>D5</f>
        <v/>
      </c>
      <c r="L5" s="94">
        <f>E5</f>
        <v/>
      </c>
      <c r="M5" s="94">
        <f>F5</f>
        <v/>
      </c>
      <c r="N5" s="95">
        <f>PROPER(TRIM(G5))</f>
        <v/>
      </c>
      <c r="O5" s="95">
        <f>"Marine"</f>
        <v/>
      </c>
      <c r="R5" s="96" t="inlineStr">
        <is>
          <t>ShipDate: B is TEXT like 03/02/2026 = 3 February. Pull day, month, year with LEFT, MID, RIGHT and build a date with DATE(year, month, day).</t>
        </is>
      </c>
    </row>
    <row r="6" ht="15" customHeight="1" s="56">
      <c r="A6" s="72" t="inlineStr">
        <is>
          <t>MR-1002</t>
        </is>
      </c>
      <c r="B6" s="72" t="inlineStr">
        <is>
          <t>02/02/2026</t>
        </is>
      </c>
      <c r="C6" s="72" t="inlineStr">
        <is>
          <t>Port Qasim</t>
        </is>
      </c>
      <c r="D6" s="72" t="inlineStr">
        <is>
          <t>Faisalabad Dry Port</t>
        </is>
      </c>
      <c r="E6" s="91" t="n">
        <v>22500</v>
      </c>
      <c r="F6" s="73" t="n">
        <v>171000</v>
      </c>
      <c r="G6" s="72" t="inlineStr">
        <is>
          <t xml:space="preserve">DELIVERED </t>
        </is>
      </c>
      <c r="H6" s="92">
        <f>A6</f>
        <v/>
      </c>
      <c r="I6" s="93">
        <f>DATE(RIGHT(B6,4),MID(B6,4,2),LEFT(B6,2))</f>
        <v/>
      </c>
      <c r="J6" s="92">
        <f>C6</f>
        <v/>
      </c>
      <c r="K6" s="92">
        <f>D6</f>
        <v/>
      </c>
      <c r="L6" s="94">
        <f>E6</f>
        <v/>
      </c>
      <c r="M6" s="94">
        <f>F6</f>
        <v/>
      </c>
      <c r="N6" s="95">
        <f>PROPER(TRIM(G6))</f>
        <v/>
      </c>
      <c r="O6" s="95">
        <f>"Marine"</f>
        <v/>
      </c>
      <c r="R6" s="96" t="inlineStr">
        <is>
          <t>TRAP CHECK: MR-1003 must show 03-Feb-2026 (not 02-Mar) and MR-1012 must show 13-Feb-2026 (not an error).</t>
        </is>
      </c>
    </row>
    <row r="7" ht="15" customHeight="1" s="56">
      <c r="A7" s="72" t="inlineStr">
        <is>
          <t>MR-1003</t>
        </is>
      </c>
      <c r="B7" s="72" t="inlineStr">
        <is>
          <t>03/02/2026</t>
        </is>
      </c>
      <c r="C7" s="72" t="inlineStr">
        <is>
          <t>Karachi Port</t>
        </is>
      </c>
      <c r="D7" s="72" t="inlineStr">
        <is>
          <t>Lahore Dry Port</t>
        </is>
      </c>
      <c r="E7" s="91" t="n">
        <v>15000</v>
      </c>
      <c r="F7" s="73" t="n">
        <v>119000</v>
      </c>
      <c r="G7" s="72" t="inlineStr">
        <is>
          <t>IN TRANSIT</t>
        </is>
      </c>
      <c r="H7" s="92">
        <f>A7</f>
        <v/>
      </c>
      <c r="I7" s="93">
        <f>DATE(RIGHT(B7,4),MID(B7,4,2),LEFT(B7,2))</f>
        <v/>
      </c>
      <c r="J7" s="92">
        <f>C7</f>
        <v/>
      </c>
      <c r="K7" s="92">
        <f>D7</f>
        <v/>
      </c>
      <c r="L7" s="94">
        <f>E7</f>
        <v/>
      </c>
      <c r="M7" s="94">
        <f>F7</f>
        <v/>
      </c>
      <c r="N7" s="95">
        <f>PROPER(TRIM(G7))</f>
        <v/>
      </c>
      <c r="O7" s="95">
        <f>"Marine"</f>
        <v/>
      </c>
      <c r="R7" s="96" t="inlineStr">
        <is>
          <t>Status: remove hidden spaces first, then fix the case. Look up TRIM and PROPER.</t>
        </is>
      </c>
    </row>
    <row r="8" ht="15" customHeight="1" s="56">
      <c r="A8" s="72" t="inlineStr">
        <is>
          <t>MR-1004</t>
        </is>
      </c>
      <c r="B8" s="72" t="inlineStr">
        <is>
          <t>04/02/2026</t>
        </is>
      </c>
      <c r="C8" s="72" t="inlineStr">
        <is>
          <t>Gwadar Port</t>
        </is>
      </c>
      <c r="D8" s="72" t="inlineStr">
        <is>
          <t>Quetta</t>
        </is>
      </c>
      <c r="E8" s="91" t="n">
        <v>20000</v>
      </c>
      <c r="F8" s="73" t="n">
        <v>188000</v>
      </c>
      <c r="G8" s="72" t="inlineStr">
        <is>
          <t>DELIVERED</t>
        </is>
      </c>
      <c r="H8" s="92">
        <f>A8</f>
        <v/>
      </c>
      <c r="I8" s="93">
        <f>DATE(RIGHT(B8,4),MID(B8,4,2),LEFT(B8,2))</f>
        <v/>
      </c>
      <c r="J8" s="92">
        <f>C8</f>
        <v/>
      </c>
      <c r="K8" s="92">
        <f>D8</f>
        <v/>
      </c>
      <c r="L8" s="94">
        <f>E8</f>
        <v/>
      </c>
      <c r="M8" s="94">
        <f>F8</f>
        <v/>
      </c>
      <c r="N8" s="95">
        <f>PROPER(TRIM(G8))</f>
        <v/>
      </c>
      <c r="O8" s="95">
        <f>"Marine"</f>
        <v/>
      </c>
      <c r="R8" s="96" t="inlineStr">
        <is>
          <t>SourceSystem: every row gets the same text — this is your audit column.</t>
        </is>
      </c>
    </row>
    <row r="9" ht="15" customHeight="1" s="56">
      <c r="A9" s="72" t="inlineStr">
        <is>
          <t>MR-1005</t>
        </is>
      </c>
      <c r="B9" s="72" t="inlineStr">
        <is>
          <t>05/02/2026</t>
        </is>
      </c>
      <c r="C9" s="72" t="inlineStr">
        <is>
          <t>Port Qasim</t>
        </is>
      </c>
      <c r="D9" s="72" t="inlineStr">
        <is>
          <t>Multan</t>
        </is>
      </c>
      <c r="E9" s="91" t="n">
        <v>16500</v>
      </c>
      <c r="F9" s="73" t="n">
        <v>128000</v>
      </c>
      <c r="G9" s="72" t="inlineStr">
        <is>
          <t xml:space="preserve"> DELIVERED</t>
        </is>
      </c>
      <c r="H9" s="92">
        <f>A9</f>
        <v/>
      </c>
      <c r="I9" s="93">
        <f>DATE(RIGHT(B9,4),MID(B9,4,2),LEFT(B9,2))</f>
        <v/>
      </c>
      <c r="J9" s="92">
        <f>C9</f>
        <v/>
      </c>
      <c r="K9" s="92">
        <f>D9</f>
        <v/>
      </c>
      <c r="L9" s="94">
        <f>E9</f>
        <v/>
      </c>
      <c r="M9" s="94">
        <f>F9</f>
        <v/>
      </c>
      <c r="N9" s="95">
        <f>PROPER(TRIM(G9))</f>
        <v/>
      </c>
      <c r="O9" s="95">
        <f>"Marine"</f>
        <v/>
      </c>
    </row>
    <row r="10" ht="15" customHeight="1" s="56">
      <c r="A10" s="72" t="inlineStr">
        <is>
          <t>MR-1006</t>
        </is>
      </c>
      <c r="B10" s="72" t="inlineStr">
        <is>
          <t>06/02/2026</t>
        </is>
      </c>
      <c r="C10" s="72" t="inlineStr">
        <is>
          <t>Karachi Port</t>
        </is>
      </c>
      <c r="D10" s="72" t="inlineStr">
        <is>
          <t>Sialkot Dry Port</t>
        </is>
      </c>
      <c r="E10" s="91" t="n">
        <v>19000</v>
      </c>
      <c r="F10" s="73" t="n">
        <v>154000</v>
      </c>
      <c r="G10" s="72" t="inlineStr">
        <is>
          <t>DELAYED</t>
        </is>
      </c>
      <c r="H10" s="92">
        <f>A10</f>
        <v/>
      </c>
      <c r="I10" s="93">
        <f>DATE(RIGHT(B10,4),MID(B10,4,2),LEFT(B10,2))</f>
        <v/>
      </c>
      <c r="J10" s="92">
        <f>C10</f>
        <v/>
      </c>
      <c r="K10" s="92">
        <f>D10</f>
        <v/>
      </c>
      <c r="L10" s="94">
        <f>E10</f>
        <v/>
      </c>
      <c r="M10" s="94">
        <f>F10</f>
        <v/>
      </c>
      <c r="N10" s="95">
        <f>PROPER(TRIM(G10))</f>
        <v/>
      </c>
      <c r="O10" s="95">
        <f>"Marine"</f>
        <v/>
      </c>
    </row>
    <row r="11" ht="15" customHeight="1" s="56">
      <c r="A11" s="72" t="inlineStr">
        <is>
          <t>MR-1007</t>
        </is>
      </c>
      <c r="B11" s="72" t="inlineStr">
        <is>
          <t>07/02/2026</t>
        </is>
      </c>
      <c r="C11" s="72" t="inlineStr">
        <is>
          <t>Port Qasim</t>
        </is>
      </c>
      <c r="D11" s="72" t="inlineStr">
        <is>
          <t>Lahore Dry Port</t>
        </is>
      </c>
      <c r="E11" s="91" t="n">
        <v>14000</v>
      </c>
      <c r="F11" s="73" t="n">
        <v>109000</v>
      </c>
      <c r="G11" s="72" t="inlineStr">
        <is>
          <t>DELIVERED</t>
        </is>
      </c>
      <c r="H11" s="92">
        <f>A11</f>
        <v/>
      </c>
      <c r="I11" s="93">
        <f>DATE(RIGHT(B11,4),MID(B11,4,2),LEFT(B11,2))</f>
        <v/>
      </c>
      <c r="J11" s="92">
        <f>C11</f>
        <v/>
      </c>
      <c r="K11" s="92">
        <f>D11</f>
        <v/>
      </c>
      <c r="L11" s="94">
        <f>E11</f>
        <v/>
      </c>
      <c r="M11" s="94">
        <f>F11</f>
        <v/>
      </c>
      <c r="N11" s="95">
        <f>PROPER(TRIM(G11))</f>
        <v/>
      </c>
      <c r="O11" s="95">
        <f>"Marine"</f>
        <v/>
      </c>
    </row>
    <row r="12" ht="15" customHeight="1" s="56">
      <c r="A12" s="72" t="inlineStr">
        <is>
          <t>MR-1008</t>
        </is>
      </c>
      <c r="B12" s="72" t="inlineStr">
        <is>
          <t>09/02/2026</t>
        </is>
      </c>
      <c r="C12" s="72" t="inlineStr">
        <is>
          <t>Karachi Port</t>
        </is>
      </c>
      <c r="D12" s="72" t="inlineStr">
        <is>
          <t>Peshawar</t>
        </is>
      </c>
      <c r="E12" s="91" t="n">
        <v>21000</v>
      </c>
      <c r="F12" s="73" t="n">
        <v>197000</v>
      </c>
      <c r="G12" s="72" t="inlineStr">
        <is>
          <t xml:space="preserve">IN TRANSIT </t>
        </is>
      </c>
      <c r="H12" s="92">
        <f>A12</f>
        <v/>
      </c>
      <c r="I12" s="93">
        <f>DATE(RIGHT(B12,4),MID(B12,4,2),LEFT(B12,2))</f>
        <v/>
      </c>
      <c r="J12" s="92">
        <f>C12</f>
        <v/>
      </c>
      <c r="K12" s="92">
        <f>D12</f>
        <v/>
      </c>
      <c r="L12" s="94">
        <f>E12</f>
        <v/>
      </c>
      <c r="M12" s="94">
        <f>F12</f>
        <v/>
      </c>
      <c r="N12" s="95">
        <f>PROPER(TRIM(G12))</f>
        <v/>
      </c>
      <c r="O12" s="95">
        <f>"Marine"</f>
        <v/>
      </c>
    </row>
    <row r="13" ht="15" customHeight="1" s="56">
      <c r="A13" s="72" t="inlineStr">
        <is>
          <t>MR-1009</t>
        </is>
      </c>
      <c r="B13" s="72" t="inlineStr">
        <is>
          <t>10/02/2026</t>
        </is>
      </c>
      <c r="C13" s="72" t="inlineStr">
        <is>
          <t>Gwadar Port</t>
        </is>
      </c>
      <c r="D13" s="72" t="inlineStr">
        <is>
          <t>Karachi Cantt</t>
        </is>
      </c>
      <c r="E13" s="91" t="n">
        <v>17500</v>
      </c>
      <c r="F13" s="73" t="n">
        <v>98000</v>
      </c>
      <c r="G13" s="72" t="inlineStr">
        <is>
          <t>DELIVERED</t>
        </is>
      </c>
      <c r="H13" s="92">
        <f>A13</f>
        <v/>
      </c>
      <c r="I13" s="93">
        <f>DATE(RIGHT(B13,4),MID(B13,4,2),LEFT(B13,2))</f>
        <v/>
      </c>
      <c r="J13" s="92">
        <f>C13</f>
        <v/>
      </c>
      <c r="K13" s="92">
        <f>D13</f>
        <v/>
      </c>
      <c r="L13" s="94">
        <f>E13</f>
        <v/>
      </c>
      <c r="M13" s="94">
        <f>F13</f>
        <v/>
      </c>
      <c r="N13" s="95">
        <f>PROPER(TRIM(G13))</f>
        <v/>
      </c>
      <c r="O13" s="95">
        <f>"Marine"</f>
        <v/>
      </c>
    </row>
    <row r="14" ht="15" customHeight="1" s="56">
      <c r="A14" s="72" t="inlineStr">
        <is>
          <t>MR-1010</t>
        </is>
      </c>
      <c r="B14" s="72" t="inlineStr">
        <is>
          <t>11/02/2026</t>
        </is>
      </c>
      <c r="C14" s="72" t="inlineStr">
        <is>
          <t>Port Qasim</t>
        </is>
      </c>
      <c r="D14" s="72" t="inlineStr">
        <is>
          <t>Islamabad Dry Port</t>
        </is>
      </c>
      <c r="E14" s="91" t="n">
        <v>15500</v>
      </c>
      <c r="F14" s="73" t="n">
        <v>139000</v>
      </c>
      <c r="G14" s="72" t="inlineStr">
        <is>
          <t>DELIVERED</t>
        </is>
      </c>
      <c r="H14" s="92">
        <f>A14</f>
        <v/>
      </c>
      <c r="I14" s="93">
        <f>DATE(RIGHT(B14,4),MID(B14,4,2),LEFT(B14,2))</f>
        <v/>
      </c>
      <c r="J14" s="92">
        <f>C14</f>
        <v/>
      </c>
      <c r="K14" s="92">
        <f>D14</f>
        <v/>
      </c>
      <c r="L14" s="94">
        <f>E14</f>
        <v/>
      </c>
      <c r="M14" s="94">
        <f>F14</f>
        <v/>
      </c>
      <c r="N14" s="95">
        <f>PROPER(TRIM(G14))</f>
        <v/>
      </c>
      <c r="O14" s="95">
        <f>"Marine"</f>
        <v/>
      </c>
    </row>
    <row r="15" ht="15" customHeight="1" s="56">
      <c r="A15" s="72" t="inlineStr">
        <is>
          <t>MR-1011</t>
        </is>
      </c>
      <c r="B15" s="72" t="inlineStr">
        <is>
          <t>12/02/2026</t>
        </is>
      </c>
      <c r="C15" s="72" t="inlineStr">
        <is>
          <t>Karachi Port</t>
        </is>
      </c>
      <c r="D15" s="72" t="inlineStr">
        <is>
          <t>Hyderabad</t>
        </is>
      </c>
      <c r="E15" s="91" t="n">
        <v>13500</v>
      </c>
      <c r="F15" s="73" t="n">
        <v>61000</v>
      </c>
      <c r="G15" s="72" t="inlineStr">
        <is>
          <t>IN TRANSIT</t>
        </is>
      </c>
      <c r="H15" s="92">
        <f>A15</f>
        <v/>
      </c>
      <c r="I15" s="93">
        <f>DATE(RIGHT(B15,4),MID(B15,4,2),LEFT(B15,2))</f>
        <v/>
      </c>
      <c r="J15" s="92">
        <f>C15</f>
        <v/>
      </c>
      <c r="K15" s="92">
        <f>D15</f>
        <v/>
      </c>
      <c r="L15" s="94">
        <f>E15</f>
        <v/>
      </c>
      <c r="M15" s="94">
        <f>F15</f>
        <v/>
      </c>
      <c r="N15" s="95">
        <f>PROPER(TRIM(G15))</f>
        <v/>
      </c>
      <c r="O15" s="95">
        <f>"Marine"</f>
        <v/>
      </c>
    </row>
    <row r="16" ht="15" customHeight="1" s="56">
      <c r="A16" s="72" t="inlineStr">
        <is>
          <t>MR-1012</t>
        </is>
      </c>
      <c r="B16" s="72" t="inlineStr">
        <is>
          <t>13/02/2026</t>
        </is>
      </c>
      <c r="C16" s="72" t="inlineStr">
        <is>
          <t>Port Qasim</t>
        </is>
      </c>
      <c r="D16" s="72" t="inlineStr">
        <is>
          <t>Lahore Dry Port</t>
        </is>
      </c>
      <c r="E16" s="91" t="n">
        <v>14000</v>
      </c>
      <c r="F16" s="73" t="n">
        <v>112000</v>
      </c>
      <c r="G16" s="72" t="inlineStr">
        <is>
          <t>DELIVERED</t>
        </is>
      </c>
      <c r="H16" s="92">
        <f>A16</f>
        <v/>
      </c>
      <c r="I16" s="93">
        <f>DATE(RIGHT(B16,4),MID(B16,4,2),LEFT(B16,2))</f>
        <v/>
      </c>
      <c r="J16" s="92">
        <f>C16</f>
        <v/>
      </c>
      <c r="K16" s="92">
        <f>D16</f>
        <v/>
      </c>
      <c r="L16" s="94">
        <f>E16</f>
        <v/>
      </c>
      <c r="M16" s="94">
        <f>F16</f>
        <v/>
      </c>
      <c r="N16" s="95">
        <f>PROPER(TRIM(G16))</f>
        <v/>
      </c>
      <c r="O16" s="95">
        <f>"Marine"</f>
        <v/>
      </c>
    </row>
  </sheetData>
  <mergeCells count="3">
    <mergeCell ref="A3:G3"/>
    <mergeCell ref="A2:P2"/>
    <mergeCell ref="H3:O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3b · Stage the Rail file</t>
        </is>
      </c>
    </row>
    <row r="2" ht="43.5" customHeight="1" s="56">
      <c r="A2" s="58" t="inlineStr">
        <is>
          <t>The two title rows were already removed for you (in Power BI you'd do it with Remove Top Rows). Fill the yellow columns.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Consignment No</t>
        </is>
      </c>
      <c r="B4" s="71" t="inlineStr">
        <is>
          <t>Dispatch Date</t>
        </is>
      </c>
      <c r="C4" s="71" t="inlineStr">
        <is>
          <t>From Station</t>
        </is>
      </c>
      <c r="D4" s="71" t="inlineStr">
        <is>
          <t>To Station</t>
        </is>
      </c>
      <c r="E4" s="71" t="inlineStr">
        <is>
          <t>Weight (Tons)</t>
        </is>
      </c>
      <c r="F4" s="71" t="inlineStr">
        <is>
          <t>Freight Charges (PKR)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R4" s="83" t="inlineStr">
        <is>
          <t>Hints</t>
        </is>
      </c>
    </row>
    <row r="5" ht="15" customHeight="1" s="56">
      <c r="A5" s="72" t="n">
        <v>45012</v>
      </c>
      <c r="B5" s="76" t="n">
        <v>46056</v>
      </c>
      <c r="C5" s="72" t="inlineStr">
        <is>
          <t>Karachi Cantt</t>
        </is>
      </c>
      <c r="D5" s="72" t="inlineStr">
        <is>
          <t>Lahore</t>
        </is>
      </c>
      <c r="E5" s="91" t="n">
        <v>32.5</v>
      </c>
      <c r="F5" s="73" t="n">
        <v>285000</v>
      </c>
      <c r="G5" s="72" t="inlineStr">
        <is>
          <t>Delivered</t>
        </is>
      </c>
      <c r="H5" s="95">
        <f>"RL-"&amp;A5</f>
        <v/>
      </c>
      <c r="I5" s="97">
        <f>B5</f>
        <v/>
      </c>
      <c r="J5" s="92">
        <f>C5</f>
        <v/>
      </c>
      <c r="K5" s="92">
        <f>D5</f>
        <v/>
      </c>
      <c r="L5" s="98">
        <f>E5*1000</f>
        <v/>
      </c>
      <c r="M5" s="94">
        <f>F5</f>
        <v/>
      </c>
      <c r="N5" s="95">
        <f>PROPER(TRIM(G5))</f>
        <v/>
      </c>
      <c r="O5" s="95">
        <f>"Rail"</f>
        <v/>
      </c>
      <c r="R5" s="96" t="inlineStr">
        <is>
          <t>ShipmentID: join the text 'RL-' to the number with &amp;  →  RL-45012.</t>
        </is>
      </c>
    </row>
    <row r="6" ht="15" customHeight="1" s="56">
      <c r="A6" s="72" t="n">
        <v>45013</v>
      </c>
      <c r="B6" s="76" t="n">
        <v>46056</v>
      </c>
      <c r="C6" s="72" t="inlineStr">
        <is>
          <t>Karachi Cantt</t>
        </is>
      </c>
      <c r="D6" s="72" t="inlineStr">
        <is>
          <t>Rawalpindi</t>
        </is>
      </c>
      <c r="E6" s="91" t="n">
        <v>28.75</v>
      </c>
      <c r="F6" s="73" t="n">
        <v>301000</v>
      </c>
      <c r="G6" s="72" t="inlineStr">
        <is>
          <t>delivered</t>
        </is>
      </c>
      <c r="H6" s="95">
        <f>"RL-"&amp;A6</f>
        <v/>
      </c>
      <c r="I6" s="97">
        <f>B6</f>
        <v/>
      </c>
      <c r="J6" s="92">
        <f>C6</f>
        <v/>
      </c>
      <c r="K6" s="92">
        <f>D6</f>
        <v/>
      </c>
      <c r="L6" s="98">
        <f>E6*1000</f>
        <v/>
      </c>
      <c r="M6" s="94">
        <f>F6</f>
        <v/>
      </c>
      <c r="N6" s="95">
        <f>PROPER(TRIM(G6))</f>
        <v/>
      </c>
      <c r="O6" s="95">
        <f>"Rail"</f>
        <v/>
      </c>
      <c r="R6" s="96" t="inlineStr">
        <is>
          <t>WeightKG: Rail is in TONNES. 1 tonne = 1,000 kg.</t>
        </is>
      </c>
    </row>
    <row r="7" ht="15" customHeight="1" s="56">
      <c r="A7" s="72" t="n">
        <v>45014</v>
      </c>
      <c r="B7" s="76" t="n">
        <v>46057</v>
      </c>
      <c r="C7" s="72" t="inlineStr">
        <is>
          <t>Pipri Marshalling Yard</t>
        </is>
      </c>
      <c r="D7" s="72" t="inlineStr">
        <is>
          <t>Faisalabad</t>
        </is>
      </c>
      <c r="E7" s="91" t="n">
        <v>30</v>
      </c>
      <c r="F7" s="73" t="n">
        <v>262000</v>
      </c>
      <c r="G7" s="72" t="inlineStr">
        <is>
          <t>In transit</t>
        </is>
      </c>
      <c r="H7" s="95">
        <f>"RL-"&amp;A7</f>
        <v/>
      </c>
      <c r="I7" s="97">
        <f>B7</f>
        <v/>
      </c>
      <c r="J7" s="92">
        <f>C7</f>
        <v/>
      </c>
      <c r="K7" s="92">
        <f>D7</f>
        <v/>
      </c>
      <c r="L7" s="98">
        <f>E7*1000</f>
        <v/>
      </c>
      <c r="M7" s="94">
        <f>F7</f>
        <v/>
      </c>
      <c r="N7" s="95">
        <f>PROPER(TRIM(G7))</f>
        <v/>
      </c>
      <c r="O7" s="95">
        <f>"Rail"</f>
        <v/>
      </c>
      <c r="R7" s="96" t="inlineStr">
        <is>
          <t>Status: same trick as Marine.</t>
        </is>
      </c>
    </row>
    <row r="8" ht="15" customHeight="1" s="56">
      <c r="A8" s="72" t="n">
        <v>45015</v>
      </c>
      <c r="B8" s="76" t="n">
        <v>46058</v>
      </c>
      <c r="C8" s="72" t="inlineStr">
        <is>
          <t>Karachi Cantt</t>
        </is>
      </c>
      <c r="D8" s="72" t="inlineStr">
        <is>
          <t>Multan</t>
        </is>
      </c>
      <c r="E8" s="91" t="n">
        <v>26.5</v>
      </c>
      <c r="F8" s="73" t="n">
        <v>198000</v>
      </c>
      <c r="G8" s="72" t="inlineStr">
        <is>
          <t xml:space="preserve"> Delivered</t>
        </is>
      </c>
      <c r="H8" s="95">
        <f>"RL-"&amp;A8</f>
        <v/>
      </c>
      <c r="I8" s="97">
        <f>B8</f>
        <v/>
      </c>
      <c r="J8" s="92">
        <f>C8</f>
        <v/>
      </c>
      <c r="K8" s="92">
        <f>D8</f>
        <v/>
      </c>
      <c r="L8" s="98">
        <f>E8*1000</f>
        <v/>
      </c>
      <c r="M8" s="94">
        <f>F8</f>
        <v/>
      </c>
      <c r="N8" s="95">
        <f>PROPER(TRIM(G8))</f>
        <v/>
      </c>
      <c r="O8" s="95">
        <f>"Rail"</f>
        <v/>
      </c>
      <c r="R8" s="96" t="inlineStr">
        <is>
          <t>Check: RL-45012 should weigh 32,500 kg.</t>
        </is>
      </c>
    </row>
    <row r="9" ht="15" customHeight="1" s="56">
      <c r="A9" s="72" t="n">
        <v>45016</v>
      </c>
      <c r="B9" s="76" t="n">
        <v>46059</v>
      </c>
      <c r="C9" s="72" t="inlineStr">
        <is>
          <t>Pipri Marshalling Yard</t>
        </is>
      </c>
      <c r="D9" s="72" t="inlineStr">
        <is>
          <t>Lahore</t>
        </is>
      </c>
      <c r="E9" s="91" t="n">
        <v>31.25</v>
      </c>
      <c r="F9" s="73" t="n">
        <v>276000</v>
      </c>
      <c r="G9" s="72" t="inlineStr">
        <is>
          <t>DELAYED</t>
        </is>
      </c>
      <c r="H9" s="95">
        <f>"RL-"&amp;A9</f>
        <v/>
      </c>
      <c r="I9" s="97">
        <f>B9</f>
        <v/>
      </c>
      <c r="J9" s="92">
        <f>C9</f>
        <v/>
      </c>
      <c r="K9" s="92">
        <f>D9</f>
        <v/>
      </c>
      <c r="L9" s="98">
        <f>E9*1000</f>
        <v/>
      </c>
      <c r="M9" s="94">
        <f>F9</f>
        <v/>
      </c>
      <c r="N9" s="95">
        <f>PROPER(TRIM(G9))</f>
        <v/>
      </c>
      <c r="O9" s="95">
        <f>"Rail"</f>
        <v/>
      </c>
    </row>
    <row r="10" ht="15" customHeight="1" s="56">
      <c r="A10" s="72" t="n">
        <v>45017</v>
      </c>
      <c r="B10" s="76" t="n">
        <v>46060</v>
      </c>
      <c r="C10" s="72" t="inlineStr">
        <is>
          <t>Karachi Cantt</t>
        </is>
      </c>
      <c r="D10" s="72" t="inlineStr">
        <is>
          <t>Peshawar Cantt</t>
        </is>
      </c>
      <c r="E10" s="91" t="n">
        <v>29</v>
      </c>
      <c r="F10" s="73" t="n">
        <v>334000</v>
      </c>
      <c r="G10" s="72" t="inlineStr">
        <is>
          <t xml:space="preserve">Delivered </t>
        </is>
      </c>
      <c r="H10" s="95">
        <f>"RL-"&amp;A10</f>
        <v/>
      </c>
      <c r="I10" s="97">
        <f>B10</f>
        <v/>
      </c>
      <c r="J10" s="92">
        <f>C10</f>
        <v/>
      </c>
      <c r="K10" s="92">
        <f>D10</f>
        <v/>
      </c>
      <c r="L10" s="98">
        <f>E10*1000</f>
        <v/>
      </c>
      <c r="M10" s="94">
        <f>F10</f>
        <v/>
      </c>
      <c r="N10" s="95">
        <f>PROPER(TRIM(G10))</f>
        <v/>
      </c>
      <c r="O10" s="95">
        <f>"Rail"</f>
        <v/>
      </c>
    </row>
    <row r="11" ht="15" customHeight="1" s="56">
      <c r="A11" s="72" t="n">
        <v>45018</v>
      </c>
      <c r="B11" s="76" t="n">
        <v>46062</v>
      </c>
      <c r="C11" s="72" t="inlineStr">
        <is>
          <t>Pipri Marshalling Yard</t>
        </is>
      </c>
      <c r="D11" s="72" t="inlineStr">
        <is>
          <t>Rawalpindi</t>
        </is>
      </c>
      <c r="E11" s="91" t="n">
        <v>27.5</v>
      </c>
      <c r="F11" s="73" t="n">
        <v>289000</v>
      </c>
      <c r="G11" s="72" t="inlineStr">
        <is>
          <t>delayed</t>
        </is>
      </c>
      <c r="H11" s="95">
        <f>"RL-"&amp;A11</f>
        <v/>
      </c>
      <c r="I11" s="97">
        <f>B11</f>
        <v/>
      </c>
      <c r="J11" s="92">
        <f>C11</f>
        <v/>
      </c>
      <c r="K11" s="92">
        <f>D11</f>
        <v/>
      </c>
      <c r="L11" s="98">
        <f>E11*1000</f>
        <v/>
      </c>
      <c r="M11" s="94">
        <f>F11</f>
        <v/>
      </c>
      <c r="N11" s="95">
        <f>PROPER(TRIM(G11))</f>
        <v/>
      </c>
      <c r="O11" s="95">
        <f>"Rail"</f>
        <v/>
      </c>
    </row>
    <row r="12" ht="15" customHeight="1" s="56">
      <c r="A12" s="72" t="n">
        <v>45019</v>
      </c>
      <c r="B12" s="76" t="n">
        <v>46063</v>
      </c>
      <c r="C12" s="72" t="inlineStr">
        <is>
          <t>Karachi Cantt</t>
        </is>
      </c>
      <c r="D12" s="72" t="inlineStr">
        <is>
          <t>Lahore</t>
        </is>
      </c>
      <c r="E12" s="91" t="n">
        <v>33</v>
      </c>
      <c r="F12" s="73" t="n">
        <v>291000</v>
      </c>
      <c r="G12" s="72" t="inlineStr">
        <is>
          <t>Delivered</t>
        </is>
      </c>
      <c r="H12" s="95">
        <f>"RL-"&amp;A12</f>
        <v/>
      </c>
      <c r="I12" s="97">
        <f>B12</f>
        <v/>
      </c>
      <c r="J12" s="92">
        <f>C12</f>
        <v/>
      </c>
      <c r="K12" s="92">
        <f>D12</f>
        <v/>
      </c>
      <c r="L12" s="98">
        <f>E12*1000</f>
        <v/>
      </c>
      <c r="M12" s="94">
        <f>F12</f>
        <v/>
      </c>
      <c r="N12" s="95">
        <f>PROPER(TRIM(G12))</f>
        <v/>
      </c>
      <c r="O12" s="95">
        <f>"Rail"</f>
        <v/>
      </c>
    </row>
    <row r="13" ht="15" customHeight="1" s="56">
      <c r="A13" s="72" t="n">
        <v>45020</v>
      </c>
      <c r="B13" s="76" t="n">
        <v>46064</v>
      </c>
      <c r="C13" s="72" t="inlineStr">
        <is>
          <t>Karachi Cantt</t>
        </is>
      </c>
      <c r="D13" s="72" t="inlineStr">
        <is>
          <t>Sukkur</t>
        </is>
      </c>
      <c r="E13" s="91" t="n">
        <v>28.25</v>
      </c>
      <c r="F13" s="73" t="n">
        <v>142000</v>
      </c>
      <c r="G13" s="72" t="inlineStr">
        <is>
          <t>in Transit</t>
        </is>
      </c>
      <c r="H13" s="95">
        <f>"RL-"&amp;A13</f>
        <v/>
      </c>
      <c r="I13" s="97">
        <f>B13</f>
        <v/>
      </c>
      <c r="J13" s="92">
        <f>C13</f>
        <v/>
      </c>
      <c r="K13" s="92">
        <f>D13</f>
        <v/>
      </c>
      <c r="L13" s="98">
        <f>E13*1000</f>
        <v/>
      </c>
      <c r="M13" s="94">
        <f>F13</f>
        <v/>
      </c>
      <c r="N13" s="95">
        <f>PROPER(TRIM(G13))</f>
        <v/>
      </c>
      <c r="O13" s="95">
        <f>"Rail"</f>
        <v/>
      </c>
    </row>
    <row r="14" ht="15" customHeight="1" s="56">
      <c r="A14" s="72" t="n">
        <v>45021</v>
      </c>
      <c r="B14" s="76" t="n">
        <v>46065</v>
      </c>
      <c r="C14" s="72" t="inlineStr">
        <is>
          <t>Pipri Marshalling Yard</t>
        </is>
      </c>
      <c r="D14" s="72" t="inlineStr">
        <is>
          <t>Multan</t>
        </is>
      </c>
      <c r="E14" s="91" t="n">
        <v>28.5</v>
      </c>
      <c r="F14" s="73" t="n">
        <v>207000</v>
      </c>
      <c r="G14" s="72" t="inlineStr">
        <is>
          <t>delivered</t>
        </is>
      </c>
      <c r="H14" s="95">
        <f>"RL-"&amp;A14</f>
        <v/>
      </c>
      <c r="I14" s="97">
        <f>B14</f>
        <v/>
      </c>
      <c r="J14" s="92">
        <f>C14</f>
        <v/>
      </c>
      <c r="K14" s="92">
        <f>D14</f>
        <v/>
      </c>
      <c r="L14" s="98">
        <f>E14*1000</f>
        <v/>
      </c>
      <c r="M14" s="94">
        <f>F14</f>
        <v/>
      </c>
      <c r="N14" s="95">
        <f>PROPER(TRIM(G14))</f>
        <v/>
      </c>
      <c r="O14" s="95">
        <f>"Rail"</f>
        <v/>
      </c>
    </row>
  </sheetData>
  <mergeCells count="3">
    <mergeCell ref="A3:G3"/>
    <mergeCell ref="A2:P2"/>
    <mergeCell ref="H3:O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R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55" min="1" max="2"/>
    <col width="15" customWidth="1" style="55" min="3" max="3"/>
    <col width="17" customWidth="1" style="55" min="4" max="4"/>
    <col width="11" customWidth="1" style="55" min="5" max="6"/>
    <col width="12" customWidth="1" style="55" min="7" max="7"/>
    <col width="11" customWidth="1" style="55" min="8" max="8"/>
    <col width="12" customWidth="1" style="55" min="9" max="9"/>
    <col width="15" customWidth="1" style="55" min="10" max="10"/>
    <col width="17" customWidth="1" style="55" min="11" max="11"/>
    <col width="11" customWidth="1" style="55" min="12" max="14"/>
    <col width="12" customWidth="1" style="55" min="15" max="15"/>
    <col width="10" customWidth="1" style="55" min="16" max="16"/>
    <col width="22" customWidth="1" style="55" min="17" max="17"/>
    <col width="110" customWidth="1" style="55" min="18" max="18"/>
  </cols>
  <sheetData>
    <row r="1" ht="27.75" customHeight="1" s="56">
      <c r="A1" s="57" t="inlineStr">
        <is>
          <t>Task 3c · Stage the Road file</t>
        </is>
      </c>
    </row>
    <row r="2" ht="43.5" customHeight="1" s="56">
      <c r="A2" s="58" t="inlineStr">
        <is>
          <t>Road has junk rows. Transform every row, then decide in 'Keep?' which rows are real shipments (Y) and which must be removed (N) — with a reason.</t>
        </is>
      </c>
    </row>
    <row r="3" ht="15" customHeight="1" s="56">
      <c r="A3" s="89" t="inlineStr">
        <is>
          <t>RAW — copied exactly as received (grey, don't edit)</t>
        </is>
      </c>
      <c r="H3" s="90" t="inlineStr">
        <is>
          <t>STAGED — contract columns (your formulas in yellow)</t>
        </is>
      </c>
    </row>
    <row r="4" ht="31.5" customHeight="1" s="56">
      <c r="A4" s="71" t="inlineStr">
        <is>
          <t>trip_id</t>
        </is>
      </c>
      <c r="B4" s="71" t="inlineStr">
        <is>
          <t>trip_date</t>
        </is>
      </c>
      <c r="C4" s="71" t="inlineStr">
        <is>
          <t>from_city</t>
        </is>
      </c>
      <c r="D4" s="71" t="inlineStr">
        <is>
          <t>to_city</t>
        </is>
      </c>
      <c r="E4" s="71" t="inlineStr">
        <is>
          <t>weight_kg</t>
        </is>
      </c>
      <c r="F4" s="71" t="inlineStr">
        <is>
          <t>cost_pkr</t>
        </is>
      </c>
      <c r="G4" s="71" t="inlineStr">
        <is>
          <t>status</t>
        </is>
      </c>
      <c r="H4" s="62" t="inlineStr">
        <is>
          <t>ShipmentID</t>
        </is>
      </c>
      <c r="I4" s="62" t="inlineStr">
        <is>
          <t>ShipDate</t>
        </is>
      </c>
      <c r="J4" s="62" t="inlineStr">
        <is>
          <t>Origin</t>
        </is>
      </c>
      <c r="K4" s="62" t="inlineStr">
        <is>
          <t>Destination</t>
        </is>
      </c>
      <c r="L4" s="62" t="inlineStr">
        <is>
          <t>WeightKG</t>
        </is>
      </c>
      <c r="M4" s="62" t="inlineStr">
        <is>
          <t>CostPKR</t>
        </is>
      </c>
      <c r="N4" s="62" t="inlineStr">
        <is>
          <t>Status</t>
        </is>
      </c>
      <c r="O4" s="62" t="inlineStr">
        <is>
          <t>SourceSystem</t>
        </is>
      </c>
      <c r="P4" s="99" t="inlineStr">
        <is>
          <t>Keep? (Y/N)</t>
        </is>
      </c>
      <c r="Q4" s="99" t="inlineStr">
        <is>
          <t>Reason if N</t>
        </is>
      </c>
      <c r="R4" s="83" t="inlineStr">
        <is>
          <t>Hints</t>
        </is>
      </c>
    </row>
    <row r="5" ht="15" customHeight="1" s="56">
      <c r="A5" s="72" t="inlineStr">
        <is>
          <t>rd-501</t>
        </is>
      </c>
      <c r="B5" s="72" t="inlineStr">
        <is>
          <t>2026-02-02</t>
        </is>
      </c>
      <c r="C5" s="72" t="inlineStr">
        <is>
          <t>Lahore</t>
        </is>
      </c>
      <c r="D5" s="72" t="inlineStr">
        <is>
          <t>Islamabad</t>
        </is>
      </c>
      <c r="E5" s="91" t="n">
        <v>6500</v>
      </c>
      <c r="F5" s="73" t="n">
        <v>58000</v>
      </c>
      <c r="G5" s="72" t="inlineStr">
        <is>
          <t>delivered</t>
        </is>
      </c>
      <c r="H5" s="95">
        <f>UPPER(A5)</f>
        <v/>
      </c>
      <c r="I5" s="93">
        <f>IF(B5="","",DATEVALUE(B5))</f>
        <v/>
      </c>
      <c r="J5" s="92">
        <f>IF(C5="","",C5)</f>
        <v/>
      </c>
      <c r="K5" s="92">
        <f>IF(D5="","",D5)</f>
        <v/>
      </c>
      <c r="L5" s="94">
        <f>IF(E5="","",E5)</f>
        <v/>
      </c>
      <c r="M5" s="94">
        <f>IF(F5="","",F5)</f>
        <v/>
      </c>
      <c r="N5" s="95">
        <f>PROPER(TRIM(G5))</f>
        <v/>
      </c>
      <c r="O5" s="95">
        <f>"Road"</f>
        <v/>
      </c>
      <c r="P5" s="95">
        <f>IF(OR(A5="",A5="TOTAL",COUNTIF($A$5:A5,A5)&gt;1),"N","Y")</f>
        <v/>
      </c>
      <c r="Q5" s="95">
        <f>IF(A5="","Blank row — not a shipment",IF(A5="TOTAL","TOTAL summary row — not a shipment",IF(COUNTIF($A$5:A5,A5)&gt;1,"Duplicate "&amp;A5&amp;" — already counted","")))</f>
        <v/>
      </c>
      <c r="R5" s="96" t="inlineStr">
        <is>
          <t>ShipmentID: make it UPPERCASE  →  RD-501.</t>
        </is>
      </c>
    </row>
    <row r="6" ht="15" customHeight="1" s="56">
      <c r="A6" s="72" t="inlineStr">
        <is>
          <t>rd-502</t>
        </is>
      </c>
      <c r="B6" s="72" t="inlineStr">
        <is>
          <t>2026-02-02</t>
        </is>
      </c>
      <c r="C6" s="72" t="inlineStr">
        <is>
          <t>Karachi</t>
        </is>
      </c>
      <c r="D6" s="72" t="inlineStr">
        <is>
          <t>Hyderabad</t>
        </is>
      </c>
      <c r="E6" s="91" t="n">
        <v>7200</v>
      </c>
      <c r="F6" s="73" t="n">
        <v>41000</v>
      </c>
      <c r="G6" s="72" t="inlineStr">
        <is>
          <t>delivered</t>
        </is>
      </c>
      <c r="H6" s="95">
        <f>UPPER(A6)</f>
        <v/>
      </c>
      <c r="I6" s="93">
        <f>IF(B6="","",DATEVALUE(B6))</f>
        <v/>
      </c>
      <c r="J6" s="92">
        <f>IF(C6="","",C6)</f>
        <v/>
      </c>
      <c r="K6" s="92">
        <f>IF(D6="","",D6)</f>
        <v/>
      </c>
      <c r="L6" s="94">
        <f>IF(E6="","",E6)</f>
        <v/>
      </c>
      <c r="M6" s="94">
        <f>IF(F6="","",F6)</f>
        <v/>
      </c>
      <c r="N6" s="95">
        <f>PROPER(TRIM(G6))</f>
        <v/>
      </c>
      <c r="O6" s="95">
        <f>"Road"</f>
        <v/>
      </c>
      <c r="P6" s="95">
        <f>IF(OR(A6="",A6="TOTAL",COUNTIF($A$5:A6,A6)&gt;1),"N","Y")</f>
        <v/>
      </c>
      <c r="Q6" s="95">
        <f>IF(A6="","Blank row — not a shipment",IF(A6="TOTAL","TOTAL summary row — not a shipment",IF(COUNTIF($A$5:A6,A6)&gt;1,"Duplicate "&amp;A6&amp;" — already counted","")))</f>
        <v/>
      </c>
      <c r="R6" s="96" t="inlineStr">
        <is>
          <t>ShipDate: B is text like 2026-02-02. DATEVALUE turns it into a date; wrap it in IFERROR for the junk rows.</t>
        </is>
      </c>
    </row>
    <row r="7" ht="15" customHeight="1" s="56">
      <c r="A7" s="72" t="inlineStr">
        <is>
          <t>rd-503</t>
        </is>
      </c>
      <c r="B7" s="72" t="inlineStr">
        <is>
          <t>2026-02-03</t>
        </is>
      </c>
      <c r="C7" s="72" t="inlineStr">
        <is>
          <t>Lahore</t>
        </is>
      </c>
      <c r="D7" s="72" t="inlineStr">
        <is>
          <t>Faisalabad</t>
        </is>
      </c>
      <c r="E7" s="91" t="n">
        <v>5800</v>
      </c>
      <c r="F7" s="73" t="n">
        <v>32000</v>
      </c>
      <c r="G7" s="72" t="inlineStr">
        <is>
          <t xml:space="preserve">in transit </t>
        </is>
      </c>
      <c r="H7" s="95">
        <f>UPPER(A7)</f>
        <v/>
      </c>
      <c r="I7" s="93">
        <f>IF(B7="","",DATEVALUE(B7))</f>
        <v/>
      </c>
      <c r="J7" s="92">
        <f>IF(C7="","",C7)</f>
        <v/>
      </c>
      <c r="K7" s="92">
        <f>IF(D7="","",D7)</f>
        <v/>
      </c>
      <c r="L7" s="94">
        <f>IF(E7="","",E7)</f>
        <v/>
      </c>
      <c r="M7" s="94">
        <f>IF(F7="","",F7)</f>
        <v/>
      </c>
      <c r="N7" s="95">
        <f>PROPER(TRIM(G7))</f>
        <v/>
      </c>
      <c r="O7" s="95">
        <f>"Road"</f>
        <v/>
      </c>
      <c r="P7" s="95">
        <f>IF(OR(A7="",A7="TOTAL",COUNTIF($A$5:A7,A7)&gt;1),"N","Y")</f>
        <v/>
      </c>
      <c r="Q7" s="95">
        <f>IF(A7="","Blank row — not a shipment",IF(A7="TOTAL","TOTAL summary row — not a shipment",IF(COUNTIF($A$5:A7,A7)&gt;1,"Duplicate "&amp;A7&amp;" — already counted","")))</f>
        <v/>
      </c>
      <c r="R7" s="96" t="inlineStr">
        <is>
          <t>Keep?: there are 15 raw lines but only 12 real trips. Find the 3 that must go.</t>
        </is>
      </c>
    </row>
    <row r="8" ht="15" customHeight="1" s="56">
      <c r="A8" s="72" t="inlineStr">
        <is>
          <t>rd-504</t>
        </is>
      </c>
      <c r="B8" s="72" t="inlineStr">
        <is>
          <t>2026-02-04</t>
        </is>
      </c>
      <c r="C8" s="72" t="inlineStr">
        <is>
          <t>Multan</t>
        </is>
      </c>
      <c r="D8" s="72" t="inlineStr">
        <is>
          <t>Lahore</t>
        </is>
      </c>
      <c r="E8" s="91" t="n">
        <v>6900</v>
      </c>
      <c r="F8" s="73" t="n">
        <v>61000</v>
      </c>
      <c r="G8" s="72" t="inlineStr">
        <is>
          <t>delivered</t>
        </is>
      </c>
      <c r="H8" s="95">
        <f>UPPER(A8)</f>
        <v/>
      </c>
      <c r="I8" s="93">
        <f>IF(B8="","",DATEVALUE(B8))</f>
        <v/>
      </c>
      <c r="J8" s="92">
        <f>IF(C8="","",C8)</f>
        <v/>
      </c>
      <c r="K8" s="92">
        <f>IF(D8="","",D8)</f>
        <v/>
      </c>
      <c r="L8" s="94">
        <f>IF(E8="","",E8)</f>
        <v/>
      </c>
      <c r="M8" s="94">
        <f>IF(F8="","",F8)</f>
        <v/>
      </c>
      <c r="N8" s="95">
        <f>PROPER(TRIM(G8))</f>
        <v/>
      </c>
      <c r="O8" s="95">
        <f>"Road"</f>
        <v/>
      </c>
      <c r="P8" s="95">
        <f>IF(OR(A8="",A8="TOTAL",COUNTIF($A$5:A8,A8)&gt;1),"N","Y")</f>
        <v/>
      </c>
      <c r="Q8" s="95">
        <f>IF(A8="","Blank row — not a shipment",IF(A8="TOTAL","TOTAL summary row — not a shipment",IF(COUNTIF($A$5:A8,A8)&gt;1,"Duplicate "&amp;A8&amp;" — already counted","")))</f>
        <v/>
      </c>
      <c r="R8" s="96" t="inlineStr">
        <is>
          <t>Status: TRIM + PROPER again.</t>
        </is>
      </c>
    </row>
    <row r="9" ht="15" customHeight="1" s="56">
      <c r="A9" s="72" t="inlineStr">
        <is>
          <t>rd-505</t>
        </is>
      </c>
      <c r="B9" s="72" t="inlineStr">
        <is>
          <t>2026-02-05</t>
        </is>
      </c>
      <c r="C9" s="72" t="inlineStr">
        <is>
          <t>Islamabad</t>
        </is>
      </c>
      <c r="D9" s="72" t="inlineStr">
        <is>
          <t>Peshawar</t>
        </is>
      </c>
      <c r="E9" s="91" t="n">
        <v>6100</v>
      </c>
      <c r="F9" s="73" t="n">
        <v>47000</v>
      </c>
      <c r="G9" s="72" t="inlineStr">
        <is>
          <t>delivered</t>
        </is>
      </c>
      <c r="H9" s="95">
        <f>UPPER(A9)</f>
        <v/>
      </c>
      <c r="I9" s="93">
        <f>IF(B9="","",DATEVALUE(B9))</f>
        <v/>
      </c>
      <c r="J9" s="92">
        <f>IF(C9="","",C9)</f>
        <v/>
      </c>
      <c r="K9" s="92">
        <f>IF(D9="","",D9)</f>
        <v/>
      </c>
      <c r="L9" s="94">
        <f>IF(E9="","",E9)</f>
        <v/>
      </c>
      <c r="M9" s="94">
        <f>IF(F9="","",F9)</f>
        <v/>
      </c>
      <c r="N9" s="95">
        <f>PROPER(TRIM(G9))</f>
        <v/>
      </c>
      <c r="O9" s="95">
        <f>"Road"</f>
        <v/>
      </c>
      <c r="P9" s="95">
        <f>IF(OR(A9="",A9="TOTAL",COUNTIF($A$5:A9,A9)&gt;1),"N","Y")</f>
        <v/>
      </c>
      <c r="Q9" s="95">
        <f>IF(A9="","Blank row — not a shipment",IF(A9="TOTAL","TOTAL summary row — not a shipment",IF(COUNTIF($A$5:A9,A9)&gt;1,"Duplicate "&amp;A9&amp;" — already counted","")))</f>
        <v/>
      </c>
      <c r="R9" s="96" t="inlineStr">
        <is>
          <t>Why not just delete the junk rows? Because staging keeps the raw copy — you mark and explain, so the audit trail survives.</t>
        </is>
      </c>
    </row>
    <row r="10" ht="15" customHeight="1" s="56">
      <c r="A10" s="72" t="inlineStr">
        <is>
          <t>rd-505</t>
        </is>
      </c>
      <c r="B10" s="72" t="inlineStr">
        <is>
          <t>2026-02-05</t>
        </is>
      </c>
      <c r="C10" s="72" t="inlineStr">
        <is>
          <t>Islamabad</t>
        </is>
      </c>
      <c r="D10" s="72" t="inlineStr">
        <is>
          <t>Peshawar</t>
        </is>
      </c>
      <c r="E10" s="91" t="n">
        <v>6100</v>
      </c>
      <c r="F10" s="73" t="n">
        <v>47000</v>
      </c>
      <c r="G10" s="72" t="inlineStr">
        <is>
          <t>delivered</t>
        </is>
      </c>
      <c r="H10" s="95">
        <f>UPPER(A10)</f>
        <v/>
      </c>
      <c r="I10" s="93">
        <f>IF(B10="","",DATEVALUE(B10))</f>
        <v/>
      </c>
      <c r="J10" s="92">
        <f>IF(C10="","",C10)</f>
        <v/>
      </c>
      <c r="K10" s="92">
        <f>IF(D10="","",D10)</f>
        <v/>
      </c>
      <c r="L10" s="94">
        <f>IF(E10="","",E10)</f>
        <v/>
      </c>
      <c r="M10" s="94">
        <f>IF(F10="","",F10)</f>
        <v/>
      </c>
      <c r="N10" s="95">
        <f>PROPER(TRIM(G10))</f>
        <v/>
      </c>
      <c r="O10" s="95">
        <f>"Road"</f>
        <v/>
      </c>
      <c r="P10" s="95">
        <f>IF(OR(A10="",A10="TOTAL",COUNTIF($A$5:A10,A10)&gt;1),"N","Y")</f>
        <v/>
      </c>
      <c r="Q10" s="95">
        <f>IF(A10="","Blank row — not a shipment",IF(A10="TOTAL","TOTAL summary row — not a shipment",IF(COUNTIF($A$5:A10,A10)&gt;1,"Duplicate "&amp;A10&amp;" — already counted","")))</f>
        <v/>
      </c>
    </row>
    <row r="11" ht="15" customHeight="1" s="56">
      <c r="A11" s="72" t="inlineStr">
        <is>
          <t>rd-506</t>
        </is>
      </c>
      <c r="B11" s="72" t="inlineStr">
        <is>
          <t>2026-02-06</t>
        </is>
      </c>
      <c r="C11" s="72" t="inlineStr">
        <is>
          <t>Karachi</t>
        </is>
      </c>
      <c r="D11" s="72" t="inlineStr">
        <is>
          <t>Sukkur</t>
        </is>
      </c>
      <c r="E11" s="91" t="n">
        <v>7400</v>
      </c>
      <c r="F11" s="73" t="n">
        <v>83000</v>
      </c>
      <c r="G11" s="72" t="inlineStr">
        <is>
          <t>delayed</t>
        </is>
      </c>
      <c r="H11" s="95">
        <f>UPPER(A11)</f>
        <v/>
      </c>
      <c r="I11" s="93">
        <f>IF(B11="","",DATEVALUE(B11))</f>
        <v/>
      </c>
      <c r="J11" s="92">
        <f>IF(C11="","",C11)</f>
        <v/>
      </c>
      <c r="K11" s="92">
        <f>IF(D11="","",D11)</f>
        <v/>
      </c>
      <c r="L11" s="94">
        <f>IF(E11="","",E11)</f>
        <v/>
      </c>
      <c r="M11" s="94">
        <f>IF(F11="","",F11)</f>
        <v/>
      </c>
      <c r="N11" s="95">
        <f>PROPER(TRIM(G11))</f>
        <v/>
      </c>
      <c r="O11" s="95">
        <f>"Road"</f>
        <v/>
      </c>
      <c r="P11" s="95">
        <f>IF(OR(A11="",A11="TOTAL",COUNTIF($A$5:A11,A11)&gt;1),"N","Y")</f>
        <v/>
      </c>
      <c r="Q11" s="95">
        <f>IF(A11="","Blank row — not a shipment",IF(A11="TOTAL","TOTAL summary row — not a shipment",IF(COUNTIF($A$5:A11,A11)&gt;1,"Duplicate "&amp;A11&amp;" — already counted","")))</f>
        <v/>
      </c>
    </row>
    <row r="12" ht="15" customHeight="1" s="56">
      <c r="A12" s="72" t="inlineStr">
        <is>
          <t>rd-507</t>
        </is>
      </c>
      <c r="B12" s="72" t="inlineStr">
        <is>
          <t>2026-02-07</t>
        </is>
      </c>
      <c r="C12" s="72" t="inlineStr">
        <is>
          <t>Lahore</t>
        </is>
      </c>
      <c r="D12" s="72" t="inlineStr">
        <is>
          <t>Sialkot</t>
        </is>
      </c>
      <c r="E12" s="91" t="n">
        <v>5900</v>
      </c>
      <c r="F12" s="73" t="n">
        <v>39000</v>
      </c>
      <c r="G12" s="72" t="inlineStr">
        <is>
          <t>delivered</t>
        </is>
      </c>
      <c r="H12" s="95">
        <f>UPPER(A12)</f>
        <v/>
      </c>
      <c r="I12" s="93">
        <f>IF(B12="","",DATEVALUE(B12))</f>
        <v/>
      </c>
      <c r="J12" s="92">
        <f>IF(C12="","",C12)</f>
        <v/>
      </c>
      <c r="K12" s="92">
        <f>IF(D12="","",D12)</f>
        <v/>
      </c>
      <c r="L12" s="94">
        <f>IF(E12="","",E12)</f>
        <v/>
      </c>
      <c r="M12" s="94">
        <f>IF(F12="","",F12)</f>
        <v/>
      </c>
      <c r="N12" s="95">
        <f>PROPER(TRIM(G12))</f>
        <v/>
      </c>
      <c r="O12" s="95">
        <f>"Road"</f>
        <v/>
      </c>
      <c r="P12" s="95">
        <f>IF(OR(A12="",A12="TOTAL",COUNTIF($A$5:A12,A12)&gt;1),"N","Y")</f>
        <v/>
      </c>
      <c r="Q12" s="95">
        <f>IF(A12="","Blank row — not a shipment",IF(A12="TOTAL","TOTAL summary row — not a shipment",IF(COUNTIF($A$5:A12,A12)&gt;1,"Duplicate "&amp;A12&amp;" — already counted","")))</f>
        <v/>
      </c>
    </row>
    <row r="13" ht="15" customHeight="1" s="56">
      <c r="A13" s="72" t="inlineStr">
        <is>
          <t>rd-508</t>
        </is>
      </c>
      <c r="B13" s="72" t="inlineStr">
        <is>
          <t>2026-02-09</t>
        </is>
      </c>
      <c r="C13" s="72" t="inlineStr">
        <is>
          <t>Quetta</t>
        </is>
      </c>
      <c r="D13" s="72" t="inlineStr">
        <is>
          <t>Karachi</t>
        </is>
      </c>
      <c r="E13" s="91" t="n">
        <v>6600</v>
      </c>
      <c r="F13" s="73" t="n">
        <v>92000</v>
      </c>
      <c r="G13" s="72" t="inlineStr">
        <is>
          <t>in transit</t>
        </is>
      </c>
      <c r="H13" s="95">
        <f>UPPER(A13)</f>
        <v/>
      </c>
      <c r="I13" s="93">
        <f>IF(B13="","",DATEVALUE(B13))</f>
        <v/>
      </c>
      <c r="J13" s="92">
        <f>IF(C13="","",C13)</f>
        <v/>
      </c>
      <c r="K13" s="92">
        <f>IF(D13="","",D13)</f>
        <v/>
      </c>
      <c r="L13" s="94">
        <f>IF(E13="","",E13)</f>
        <v/>
      </c>
      <c r="M13" s="94">
        <f>IF(F13="","",F13)</f>
        <v/>
      </c>
      <c r="N13" s="95">
        <f>PROPER(TRIM(G13))</f>
        <v/>
      </c>
      <c r="O13" s="95">
        <f>"Road"</f>
        <v/>
      </c>
      <c r="P13" s="95">
        <f>IF(OR(A13="",A13="TOTAL",COUNTIF($A$5:A13,A13)&gt;1),"N","Y")</f>
        <v/>
      </c>
      <c r="Q13" s="95">
        <f>IF(A13="","Blank row — not a shipment",IF(A13="TOTAL","TOTAL summary row — not a shipment",IF(COUNTIF($A$5:A13,A13)&gt;1,"Duplicate "&amp;A13&amp;" — already counted","")))</f>
        <v/>
      </c>
    </row>
    <row r="14" ht="15" customHeight="1" s="56">
      <c r="A14" s="72" t="inlineStr">
        <is>
          <t>rd-509</t>
        </is>
      </c>
      <c r="B14" s="72" t="inlineStr">
        <is>
          <t>2026-02-10</t>
        </is>
      </c>
      <c r="C14" s="72" t="inlineStr">
        <is>
          <t>Faisalabad</t>
        </is>
      </c>
      <c r="D14" s="72" t="inlineStr">
        <is>
          <t>Multan</t>
        </is>
      </c>
      <c r="E14" s="91" t="n">
        <v>6200</v>
      </c>
      <c r="F14" s="73" t="n">
        <v>44000</v>
      </c>
      <c r="G14" s="72" t="inlineStr">
        <is>
          <t xml:space="preserve">delivered </t>
        </is>
      </c>
      <c r="H14" s="95">
        <f>UPPER(A14)</f>
        <v/>
      </c>
      <c r="I14" s="93">
        <f>IF(B14="","",DATEVALUE(B14))</f>
        <v/>
      </c>
      <c r="J14" s="92">
        <f>IF(C14="","",C14)</f>
        <v/>
      </c>
      <c r="K14" s="92">
        <f>IF(D14="","",D14)</f>
        <v/>
      </c>
      <c r="L14" s="94">
        <f>IF(E14="","",E14)</f>
        <v/>
      </c>
      <c r="M14" s="94">
        <f>IF(F14="","",F14)</f>
        <v/>
      </c>
      <c r="N14" s="95">
        <f>PROPER(TRIM(G14))</f>
        <v/>
      </c>
      <c r="O14" s="95">
        <f>"Road"</f>
        <v/>
      </c>
      <c r="P14" s="95">
        <f>IF(OR(A14="",A14="TOTAL",COUNTIF($A$5:A14,A14)&gt;1),"N","Y")</f>
        <v/>
      </c>
      <c r="Q14" s="95">
        <f>IF(A14="","Blank row — not a shipment",IF(A14="TOTAL","TOTAL summary row — not a shipment",IF(COUNTIF($A$5:A14,A14)&gt;1,"Duplicate "&amp;A14&amp;" — already counted","")))</f>
        <v/>
      </c>
    </row>
    <row r="15" ht="15" customHeight="1" s="56">
      <c r="A15" s="72" t="inlineStr">
        <is>
          <t>rd-510</t>
        </is>
      </c>
      <c r="B15" s="72" t="inlineStr">
        <is>
          <t>2026-02-11</t>
        </is>
      </c>
      <c r="C15" s="72" t="inlineStr">
        <is>
          <t>Lahore</t>
        </is>
      </c>
      <c r="D15" s="72" t="inlineStr">
        <is>
          <t>Gujranwala</t>
        </is>
      </c>
      <c r="E15" s="91" t="n">
        <v>7000</v>
      </c>
      <c r="F15" s="73" t="n">
        <v>27000</v>
      </c>
      <c r="G15" s="72" t="inlineStr">
        <is>
          <t>delivered</t>
        </is>
      </c>
      <c r="H15" s="95">
        <f>UPPER(A15)</f>
        <v/>
      </c>
      <c r="I15" s="93">
        <f>IF(B15="","",DATEVALUE(B15))</f>
        <v/>
      </c>
      <c r="J15" s="92">
        <f>IF(C15="","",C15)</f>
        <v/>
      </c>
      <c r="K15" s="92">
        <f>IF(D15="","",D15)</f>
        <v/>
      </c>
      <c r="L15" s="94">
        <f>IF(E15="","",E15)</f>
        <v/>
      </c>
      <c r="M15" s="94">
        <f>IF(F15="","",F15)</f>
        <v/>
      </c>
      <c r="N15" s="95">
        <f>PROPER(TRIM(G15))</f>
        <v/>
      </c>
      <c r="O15" s="95">
        <f>"Road"</f>
        <v/>
      </c>
      <c r="P15" s="95">
        <f>IF(OR(A15="",A15="TOTAL",COUNTIF($A$5:A15,A15)&gt;1),"N","Y")</f>
        <v/>
      </c>
      <c r="Q15" s="95">
        <f>IF(A15="","Blank row — not a shipment",IF(A15="TOTAL","TOTAL summary row — not a shipment",IF(COUNTIF($A$5:A15,A15)&gt;1,"Duplicate "&amp;A15&amp;" — already counted","")))</f>
        <v/>
      </c>
    </row>
    <row r="16" ht="15" customHeight="1" s="56">
      <c r="A16" s="72" t="inlineStr">
        <is>
          <t>rd-511</t>
        </is>
      </c>
      <c r="B16" s="72" t="inlineStr">
        <is>
          <t>2026-02-12</t>
        </is>
      </c>
      <c r="C16" s="72" t="inlineStr">
        <is>
          <t>Karachi</t>
        </is>
      </c>
      <c r="D16" s="72" t="inlineStr">
        <is>
          <t>Hyderabad</t>
        </is>
      </c>
      <c r="E16" s="91" t="n">
        <v>5500</v>
      </c>
      <c r="F16" s="73" t="n">
        <v>36000</v>
      </c>
      <c r="G16" s="72" t="inlineStr">
        <is>
          <t xml:space="preserve"> in transit</t>
        </is>
      </c>
      <c r="H16" s="95">
        <f>UPPER(A16)</f>
        <v/>
      </c>
      <c r="I16" s="93">
        <f>IF(B16="","",DATEVALUE(B16))</f>
        <v/>
      </c>
      <c r="J16" s="92">
        <f>IF(C16="","",C16)</f>
        <v/>
      </c>
      <c r="K16" s="92">
        <f>IF(D16="","",D16)</f>
        <v/>
      </c>
      <c r="L16" s="94">
        <f>IF(E16="","",E16)</f>
        <v/>
      </c>
      <c r="M16" s="94">
        <f>IF(F16="","",F16)</f>
        <v/>
      </c>
      <c r="N16" s="95">
        <f>PROPER(TRIM(G16))</f>
        <v/>
      </c>
      <c r="O16" s="95">
        <f>"Road"</f>
        <v/>
      </c>
      <c r="P16" s="95">
        <f>IF(OR(A16="",A16="TOTAL",COUNTIF($A$5:A16,A16)&gt;1),"N","Y")</f>
        <v/>
      </c>
      <c r="Q16" s="95">
        <f>IF(A16="","Blank row — not a shipment",IF(A16="TOTAL","TOTAL summary row — not a shipment",IF(COUNTIF($A$5:A16,A16)&gt;1,"Duplicate "&amp;A16&amp;" — already counted","")))</f>
        <v/>
      </c>
    </row>
    <row r="17" ht="15" customHeight="1" s="56">
      <c r="A17" s="72" t="inlineStr">
        <is>
          <t>rd-512</t>
        </is>
      </c>
      <c r="B17" s="72" t="inlineStr">
        <is>
          <t>2026-02-13</t>
        </is>
      </c>
      <c r="C17" s="72" t="inlineStr">
        <is>
          <t>Rawalpindi</t>
        </is>
      </c>
      <c r="D17" s="72" t="inlineStr">
        <is>
          <t>Abbottabad</t>
        </is>
      </c>
      <c r="E17" s="91" t="n">
        <v>5800</v>
      </c>
      <c r="F17" s="73" t="n">
        <v>45000</v>
      </c>
      <c r="G17" s="72" t="inlineStr">
        <is>
          <t>delivered</t>
        </is>
      </c>
      <c r="H17" s="95">
        <f>UPPER(A17)</f>
        <v/>
      </c>
      <c r="I17" s="93">
        <f>IF(B17="","",DATEVALUE(B17))</f>
        <v/>
      </c>
      <c r="J17" s="92">
        <f>IF(C17="","",C17)</f>
        <v/>
      </c>
      <c r="K17" s="92">
        <f>IF(D17="","",D17)</f>
        <v/>
      </c>
      <c r="L17" s="94">
        <f>IF(E17="","",E17)</f>
        <v/>
      </c>
      <c r="M17" s="94">
        <f>IF(F17="","",F17)</f>
        <v/>
      </c>
      <c r="N17" s="95">
        <f>PROPER(TRIM(G17))</f>
        <v/>
      </c>
      <c r="O17" s="95">
        <f>"Road"</f>
        <v/>
      </c>
      <c r="P17" s="95">
        <f>IF(OR(A17="",A17="TOTAL",COUNTIF($A$5:A17,A17)&gt;1),"N","Y")</f>
        <v/>
      </c>
      <c r="Q17" s="95">
        <f>IF(A17="","Blank row — not a shipment",IF(A17="TOTAL","TOTAL summary row — not a shipment",IF(COUNTIF($A$5:A17,A17)&gt;1,"Duplicate "&amp;A17&amp;" — already counted","")))</f>
        <v/>
      </c>
    </row>
    <row r="18" ht="15" customHeight="1" s="56">
      <c r="A18" s="72" t="n"/>
      <c r="B18" s="72" t="n"/>
      <c r="C18" s="72" t="n"/>
      <c r="D18" s="72" t="n"/>
      <c r="E18" s="91" t="n"/>
      <c r="F18" s="73" t="n"/>
      <c r="G18" s="72" t="n"/>
      <c r="H18" s="95">
        <f>UPPER(A18)</f>
        <v/>
      </c>
      <c r="I18" s="93">
        <f>IF(B18="","",DATEVALUE(B18))</f>
        <v/>
      </c>
      <c r="J18" s="92">
        <f>IF(C18="","",C18)</f>
        <v/>
      </c>
      <c r="K18" s="92">
        <f>IF(D18="","",D18)</f>
        <v/>
      </c>
      <c r="L18" s="94">
        <f>IF(E18="","",E18)</f>
        <v/>
      </c>
      <c r="M18" s="94">
        <f>IF(F18="","",F18)</f>
        <v/>
      </c>
      <c r="N18" s="95">
        <f>PROPER(TRIM(G18))</f>
        <v/>
      </c>
      <c r="O18" s="95">
        <f>"Road"</f>
        <v/>
      </c>
      <c r="P18" s="95">
        <f>IF(OR(A18="",A18="TOTAL",COUNTIF($A$5:A18,A18)&gt;1),"N","Y")</f>
        <v/>
      </c>
      <c r="Q18" s="95">
        <f>IF(A18="","Blank row — not a shipment",IF(A18="TOTAL","TOTAL summary row — not a shipment",IF(COUNTIF($A$5:A18,A18)&gt;1,"Duplicate "&amp;A18&amp;" — already counted","")))</f>
        <v/>
      </c>
    </row>
    <row r="19" ht="15" customHeight="1" s="56">
      <c r="A19" s="72" t="inlineStr">
        <is>
          <t>TOTAL</t>
        </is>
      </c>
      <c r="B19" s="72" t="n"/>
      <c r="C19" s="72" t="n"/>
      <c r="D19" s="72" t="n"/>
      <c r="E19" s="91" t="n">
        <v>83000</v>
      </c>
      <c r="F19" s="73" t="n">
        <v>652000</v>
      </c>
      <c r="G19" s="72" t="n"/>
      <c r="H19" s="95">
        <f>UPPER(A19)</f>
        <v/>
      </c>
      <c r="I19" s="93">
        <f>IF(B19="","",DATEVALUE(B19))</f>
        <v/>
      </c>
      <c r="J19" s="92">
        <f>IF(C19="","",C19)</f>
        <v/>
      </c>
      <c r="K19" s="92">
        <f>IF(D19="","",D19)</f>
        <v/>
      </c>
      <c r="L19" s="94">
        <f>IF(E19="","",E19)</f>
        <v/>
      </c>
      <c r="M19" s="94">
        <f>IF(F19="","",F19)</f>
        <v/>
      </c>
      <c r="N19" s="95">
        <f>PROPER(TRIM(G19))</f>
        <v/>
      </c>
      <c r="O19" s="95">
        <f>"Road"</f>
        <v/>
      </c>
      <c r="P19" s="95">
        <f>IF(OR(A19="",A19="TOTAL",COUNTIF($A$5:A19,A19)&gt;1),"N","Y")</f>
        <v/>
      </c>
      <c r="Q19" s="95">
        <f>IF(A19="","Blank row — not a shipment",IF(A19="TOTAL","TOTAL summary row — not a shipment",IF(COUNTIF($A$5:A19,A19)&gt;1,"Duplicate "&amp;A19&amp;" — already counted","")))</f>
        <v/>
      </c>
    </row>
  </sheetData>
  <mergeCells count="3">
    <mergeCell ref="A3:G3"/>
    <mergeCell ref="A2:P2"/>
    <mergeCell ref="H3:O3"/>
  </mergeCells>
  <dataValidations count="1">
    <dataValidation sqref="P5:P19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5" min="1" max="1"/>
    <col width="13" customWidth="1" style="55" min="2" max="2"/>
    <col width="11" customWidth="1" style="55" min="3" max="3"/>
    <col width="13" customWidth="1" style="55" min="4" max="5"/>
    <col width="15" customWidth="1" style="55" min="6" max="6"/>
    <col width="14" customWidth="1" style="55" min="7" max="7"/>
    <col width="13" customWidth="1" style="55" min="8" max="8"/>
  </cols>
  <sheetData>
    <row r="1" ht="27.75" customHeight="1" s="56">
      <c r="A1" s="57" t="inlineStr">
        <is>
          <t>Task 4 · Reconcile — Validate Before You Trust (3 min)</t>
        </is>
      </c>
    </row>
    <row r="2" ht="43.5" customHeight="1" s="56">
      <c r="A2" s="58" t="inlineStr">
        <is>
          <t>Nothing to type here. These checks read your staging tabs. Every ✘ means a mistake in Task 3 — go back and fix it until everything is ✔.</t>
        </is>
      </c>
    </row>
    <row r="4" ht="31.5" customHeight="1" s="56">
      <c r="A4" s="62" t="inlineStr">
        <is>
          <t>Source</t>
        </is>
      </c>
      <c r="B4" s="62" t="inlineStr">
        <is>
          <t>Raw lines</t>
        </is>
      </c>
      <c r="C4" s="62" t="inlineStr">
        <is>
          <t>Removed</t>
        </is>
      </c>
      <c r="D4" s="62" t="inlineStr">
        <is>
          <t>Loaded</t>
        </is>
      </c>
      <c r="E4" s="62" t="inlineStr">
        <is>
          <t>Expected rows</t>
        </is>
      </c>
      <c r="F4" s="62" t="inlineStr">
        <is>
          <t>Weight (kg)</t>
        </is>
      </c>
      <c r="G4" s="62" t="inlineStr">
        <is>
          <t>Expected kg</t>
        </is>
      </c>
      <c r="H4" s="62" t="inlineStr">
        <is>
          <t>Check</t>
        </is>
      </c>
    </row>
    <row r="5" ht="15" customHeight="1" s="56">
      <c r="A5" s="64" t="inlineStr">
        <is>
          <t>Marine</t>
        </is>
      </c>
      <c r="B5" s="63">
        <f>ROWS('T3a Marine_Stg'!A5:A16)</f>
        <v/>
      </c>
      <c r="C5" s="63">
        <f>0</f>
        <v/>
      </c>
      <c r="D5" s="63">
        <f>COUNT('T3a Marine_Stg'!L5:L16)</f>
        <v/>
      </c>
      <c r="E5" s="100" t="n">
        <v>12</v>
      </c>
      <c r="F5" s="101">
        <f>SUM('T3a Marine_Stg'!L5:L16)</f>
        <v/>
      </c>
      <c r="G5" s="102" t="n">
        <v>206500</v>
      </c>
      <c r="H5" s="63">
        <f>IF(AND(D5=E5,ABS(F5-G5)&lt;0.5),"✔ OK","✘ Fix it")</f>
        <v/>
      </c>
    </row>
    <row r="6" ht="15" customHeight="1" s="56">
      <c r="A6" s="64" t="inlineStr">
        <is>
          <t>Rail</t>
        </is>
      </c>
      <c r="B6" s="63">
        <f>ROWS('T3b Rail_Stg'!A5:A14)</f>
        <v/>
      </c>
      <c r="C6" s="63">
        <f>0</f>
        <v/>
      </c>
      <c r="D6" s="63">
        <f>COUNT('T3b Rail_Stg'!L5:L14)</f>
        <v/>
      </c>
      <c r="E6" s="100" t="n">
        <v>10</v>
      </c>
      <c r="F6" s="101">
        <f>SUM('T3b Rail_Stg'!L5:L14)</f>
        <v/>
      </c>
      <c r="G6" s="102" t="n">
        <v>295250</v>
      </c>
      <c r="H6" s="63">
        <f>IF(AND(D6=E6,ABS(F6-G6)&lt;0.5),"✔ OK","✘ Fix it")</f>
        <v/>
      </c>
    </row>
    <row r="7" ht="15" customHeight="1" s="56">
      <c r="A7" s="64" t="inlineStr">
        <is>
          <t>Road</t>
        </is>
      </c>
      <c r="B7" s="63">
        <f>ROWS('T3c Road_Stg'!A5:A19)</f>
        <v/>
      </c>
      <c r="C7" s="63">
        <f>COUNTIF('T3c Road_Stg'!P5:P19,"N")</f>
        <v/>
      </c>
      <c r="D7" s="63">
        <f>COUNTIF('T3c Road_Stg'!P5:P19,"Y")</f>
        <v/>
      </c>
      <c r="E7" s="100" t="n">
        <v>12</v>
      </c>
      <c r="F7" s="101">
        <f>SUMIF('T3c Road_Stg'!P5:P19,"Y",'T3c Road_Stg'!L5:L19)</f>
        <v/>
      </c>
      <c r="G7" s="102" t="n">
        <v>76900</v>
      </c>
      <c r="H7" s="63">
        <f>IF(AND(D7=E7,ABS(F7-G7)&lt;0.5),"✔ OK","✘ Fix it")</f>
        <v/>
      </c>
    </row>
    <row r="8" ht="15" customHeight="1" s="56">
      <c r="A8" s="65" t="inlineStr">
        <is>
          <t>Total</t>
        </is>
      </c>
      <c r="B8" s="66">
        <f>SUM(B5:B7)</f>
        <v/>
      </c>
      <c r="C8" s="66">
        <f>SUM(C5:C7)</f>
        <v/>
      </c>
      <c r="D8" s="66">
        <f>SUM(D5:D7)</f>
        <v/>
      </c>
      <c r="E8" s="66">
        <f>SUM(E5:E7)</f>
        <v/>
      </c>
      <c r="F8" s="103">
        <f>SUM(F5:F7)</f>
        <v/>
      </c>
      <c r="G8" s="103">
        <f>SUM(G5:G7)</f>
        <v/>
      </c>
      <c r="H8" s="66">
        <f>IF(AND(D8=34,ABS(F8-578650)&lt;0.5,B8-C8=D8),"✔ OK","✘ Fix it")</f>
        <v/>
      </c>
    </row>
    <row r="10" ht="15" customHeight="1" s="56">
      <c r="A10" s="65" t="inlineStr">
        <is>
          <t>Total freight (tonnes)</t>
        </is>
      </c>
      <c r="F10" s="104">
        <f>F8/1000</f>
        <v/>
      </c>
      <c r="G10" s="105" t="n">
        <v>578.65</v>
      </c>
      <c r="H10" s="63">
        <f>IF(ABS(F10-G10)&lt;0.001,"✔ OK","✘ Fix it")</f>
        <v/>
      </c>
    </row>
    <row r="11" ht="15" customHeight="1" s="56">
      <c r="A11" s="82" t="inlineStr">
        <is>
          <t>Reconciliation rule: Raw lines − Removed = Loaded. Every removed row must have a reason in T3c.</t>
        </is>
      </c>
      <c r="B11" s="87" t="n"/>
      <c r="C11" s="87" t="n"/>
      <c r="D11" s="87" t="n"/>
      <c r="E11" s="87" t="n"/>
      <c r="F11" s="87" t="n"/>
      <c r="G11" s="87" t="n"/>
      <c r="H11" s="88" t="n"/>
    </row>
    <row r="12" ht="15" customHeight="1" s="56">
      <c r="A12" s="106" t="inlineStr">
        <is>
          <t>Expected values (blue) are the official lab answers from slide 39.</t>
        </is>
      </c>
    </row>
    <row r="14" ht="31.5" customHeight="1" s="56">
      <c r="A14" s="62" t="inlineStr">
        <is>
          <t>Status</t>
        </is>
      </c>
      <c r="B14" s="62" t="inlineStr">
        <is>
          <t>Marine</t>
        </is>
      </c>
      <c r="C14" s="62" t="inlineStr">
        <is>
          <t>Rail</t>
        </is>
      </c>
      <c r="D14" s="62" t="inlineStr">
        <is>
          <t>Road (kept)</t>
        </is>
      </c>
      <c r="E14" s="62" t="inlineStr">
        <is>
          <t>Total</t>
        </is>
      </c>
      <c r="F14" s="62" t="inlineStr">
        <is>
          <t>Expected</t>
        </is>
      </c>
      <c r="G14" s="62" t="n"/>
      <c r="H14" s="62" t="inlineStr">
        <is>
          <t>Check</t>
        </is>
      </c>
    </row>
    <row r="15" ht="15" customHeight="1" s="56">
      <c r="A15" s="65" t="inlineStr">
        <is>
          <t>Delivered</t>
        </is>
      </c>
      <c r="B15" s="63">
        <f>COUNTIF('T3a Marine_Stg'!N5:N16,A15)</f>
        <v/>
      </c>
      <c r="C15" s="63">
        <f>COUNTIF('T3b Rail_Stg'!N5:N14,A15)</f>
        <v/>
      </c>
      <c r="D15" s="63">
        <f>COUNTIFS('T3c Road_Stg'!N5:N19,A15,'T3c Road_Stg'!P5:P19,"Y")</f>
        <v/>
      </c>
      <c r="E15" s="66">
        <f>SUM(B15:D15)</f>
        <v/>
      </c>
      <c r="F15" s="100" t="n">
        <v>22</v>
      </c>
      <c r="G15" s="64" t="n"/>
      <c r="H15" s="63">
        <f>IF(E15=F15,"✔ OK","✘ Fix it")</f>
        <v/>
      </c>
    </row>
    <row r="16" ht="15" customHeight="1" s="56">
      <c r="A16" s="65" t="inlineStr">
        <is>
          <t>In Transit</t>
        </is>
      </c>
      <c r="B16" s="63">
        <f>COUNTIF('T3a Marine_Stg'!N5:N16,A16)</f>
        <v/>
      </c>
      <c r="C16" s="63">
        <f>COUNTIF('T3b Rail_Stg'!N5:N14,A16)</f>
        <v/>
      </c>
      <c r="D16" s="63">
        <f>COUNTIFS('T3c Road_Stg'!N5:N19,A16,'T3c Road_Stg'!P5:P19,"Y")</f>
        <v/>
      </c>
      <c r="E16" s="66">
        <f>SUM(B16:D16)</f>
        <v/>
      </c>
      <c r="F16" s="100" t="n">
        <v>8</v>
      </c>
      <c r="G16" s="64" t="n"/>
      <c r="H16" s="63">
        <f>IF(E16=F16,"✔ OK","✘ Fix it")</f>
        <v/>
      </c>
    </row>
    <row r="17" ht="15" customHeight="1" s="56">
      <c r="A17" s="65" t="inlineStr">
        <is>
          <t>Delayed</t>
        </is>
      </c>
      <c r="B17" s="63">
        <f>COUNTIF('T3a Marine_Stg'!N5:N16,A17)</f>
        <v/>
      </c>
      <c r="C17" s="63">
        <f>COUNTIF('T3b Rail_Stg'!N5:N14,A17)</f>
        <v/>
      </c>
      <c r="D17" s="63">
        <f>COUNTIFS('T3c Road_Stg'!N5:N19,A17,'T3c Road_Stg'!P5:P19,"Y")</f>
        <v/>
      </c>
      <c r="E17" s="66">
        <f>SUM(B17:D17)</f>
        <v/>
      </c>
      <c r="F17" s="100" t="n">
        <v>4</v>
      </c>
      <c r="G17" s="64" t="n"/>
      <c r="H17" s="63">
        <f>IF(E17=F17,"✔ OK","✘ Fix it")</f>
        <v/>
      </c>
    </row>
    <row r="18" ht="15" customHeight="1" s="56">
      <c r="A18" s="65" t="inlineStr">
        <is>
          <t>Other status values</t>
        </is>
      </c>
      <c r="E18" s="63">
        <f>COUNTIF('T3a Marine_Stg'!N5:N16,"?*")+COUNTIF('T3b Rail_Stg'!N5:N14,"?*")+COUNTIFS('T3c Road_Stg'!N5:N19,"?*",'T3c Road_Stg'!P5:P19,"Y")-SUM(E15:E17)</f>
        <v/>
      </c>
      <c r="F18" s="100" t="n">
        <v>0</v>
      </c>
      <c r="G18" s="64" t="n"/>
      <c r="H18" s="63">
        <f>IF(AND(E18=0,E15+E16+E17=34),"✔ OK","✘ Fix it")</f>
        <v/>
      </c>
    </row>
    <row r="20" ht="15" customHeight="1" s="56">
      <c r="A20" s="65" t="inlineStr">
        <is>
          <t>Date trap</t>
        </is>
      </c>
      <c r="B20" s="64" t="inlineStr">
        <is>
          <t>MR-1003 date</t>
        </is>
      </c>
      <c r="F20" s="107">
        <f>'T3a Marine_Stg'!I7</f>
        <v/>
      </c>
      <c r="G20" s="108">
        <f>DATE(2026,2,3)</f>
        <v/>
      </c>
      <c r="H20" s="63">
        <f>IF(F20=G20,"✔ OK","✘ Fix it")</f>
        <v/>
      </c>
    </row>
    <row r="21" ht="15" customHeight="1" s="56">
      <c r="B21" s="64" t="inlineStr">
        <is>
          <t>MR-1012 date</t>
        </is>
      </c>
      <c r="F21" s="107">
        <f>'T3a Marine_Stg'!I16</f>
        <v/>
      </c>
      <c r="G21" s="108">
        <f>DATE(2026,2,13)</f>
        <v/>
      </c>
      <c r="H21" s="63">
        <f>IF(F21=G21,"✔ OK","✘ Fix it")</f>
        <v/>
      </c>
    </row>
  </sheetData>
  <mergeCells count="2">
    <mergeCell ref="A2:H2"/>
    <mergeCell ref="A11:H11"/>
  </mergeCells>
  <conditionalFormatting sqref="H5:H21">
    <cfRule type="expression" rank="0" priority="2" equalAverage="0" aboveAverage="0" dxfId="0" text="" percent="0" bottom="0">
      <formula>LEFT(H5,1)="✔"</formula>
    </cfRule>
    <cfRule type="expression" rank="0" priority="3" equalAverage="0" aboveAverage="0" dxfId="1" text="" percent="0" bottom="0">
      <formula>LEFT(H5,1)="✘"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55" min="1" max="1"/>
    <col width="34" customWidth="1" style="55" min="2" max="2"/>
    <col width="38" customWidth="1" style="55" min="3" max="3"/>
    <col width="32" customWidth="1" style="55" min="4" max="4"/>
    <col width="30" customWidth="1" style="55" min="5" max="5"/>
  </cols>
  <sheetData>
    <row r="1" ht="27.75" customHeight="1" s="56">
      <c r="A1" s="57" t="inlineStr">
        <is>
          <t>Task 5 · Trace the Lineage of One Number (5 min)</t>
        </is>
      </c>
    </row>
    <row r="2" ht="43.5" customHeight="1" s="56">
      <c r="A2" s="58" t="inlineStr">
        <is>
          <t>Metric: Total Freight = 578.65 tonnes (the card on the CEO dashboard). Fill each tier from the SOURCE down to the REPORT. Model answer idea: slide 29.</t>
        </is>
      </c>
    </row>
    <row r="4" ht="31.5" customHeight="1" s="56">
      <c r="A4" s="62" t="inlineStr">
        <is>
          <t>Tier</t>
        </is>
      </c>
      <c r="B4" s="62" t="inlineStr">
        <is>
          <t>What the data looks like here</t>
        </is>
      </c>
      <c r="C4" s="62" t="inlineStr">
        <is>
          <t>What changes here (transformation)</t>
        </is>
      </c>
      <c r="D4" s="62" t="inlineStr">
        <is>
          <t>Quality check you'd place here ✓</t>
        </is>
      </c>
      <c r="E4" s="62" t="inlineStr">
        <is>
          <t>Audit / lineage info you'd keep</t>
        </is>
      </c>
    </row>
    <row r="5" ht="57.75" customHeight="1" s="56">
      <c r="A5" s="109" t="inlineStr">
        <is>
          <t>1 · Source files</t>
        </is>
      </c>
      <c r="B5" s="67" t="inlineStr">
        <is>
          <t>3 files: marine_shipments.csv (12 rows, KG, dd/mm/yyyy, UPPER status), rail_shipments.xlsx (10 rows, TONS, 2 title rows, numeric IDs), road_shipments.csv (15 rows: 12 trips + duplicate + blank + TOTAL)</t>
        </is>
      </c>
      <c r="C5" s="67" t="inlineStr">
        <is>
          <t>None — raw files are never edited; fixes live in staging</t>
        </is>
      </c>
      <c r="D5" s="67" t="inlineStr">
        <is>
          <t>Row counts per file (12 / 10 / 15); spot-check MR-1003 = 03-Feb-2026</t>
        </is>
      </c>
      <c r="E5" s="67" t="inlineStr">
        <is>
          <t>File name + received date + raw row count logged</t>
        </is>
      </c>
    </row>
    <row r="6" ht="57.75" customHeight="1" s="56">
      <c r="A6" s="109" t="inlineStr">
        <is>
          <t>2 · Staging</t>
        </is>
      </c>
      <c r="B6" s="67" t="inlineStr">
        <is>
          <t>marine_stg / rail_stg / road_stg — all bent to the 8-column contract</t>
        </is>
      </c>
      <c r="C6" s="67" t="inlineStr">
        <is>
          <t>UK-locale dates; tons × 1000; RL- prefix; UPPER road IDs; TRIM + PROPER status; drop duplicate rd-505, blank row, TOTAL row — each named</t>
        </is>
      </c>
      <c r="D6" s="67" t="inlineStr">
        <is>
          <t>Reconcile sheet: rows 12/10/12, kg 206500/295250/76900 — every check ✔</t>
        </is>
      </c>
      <c r="E6" s="67" t="inlineStr">
        <is>
          <t>Each staged cell references its raw cell; removed rows listed with reasons</t>
        </is>
      </c>
    </row>
    <row r="7" ht="57.75" customHeight="1" s="56">
      <c r="A7" s="109" t="inlineStr">
        <is>
          <t>3 · Storage (integrated)</t>
        </is>
      </c>
      <c r="B7" s="67" t="inlineStr">
        <is>
          <t>One Shipments table: 34 rows × 8 columns</t>
        </is>
      </c>
      <c r="C7" s="67" t="inlineStr">
        <is>
          <t>Append the three staged queries; _stg queries hidden (Enable load off)</t>
        </is>
      </c>
      <c r="D7" s="67" t="inlineStr">
        <is>
          <t>34 rows, 8 columns, SUM(WeightKG) = 578,650; no nulls in keys</t>
        </is>
      </c>
      <c r="E7" s="67" t="inlineStr">
        <is>
          <t>Append order + per-source row counts recorded</t>
        </is>
      </c>
    </row>
    <row r="8" ht="57.75" customHeight="1" s="56">
      <c r="A8" s="109" t="inlineStr">
        <is>
          <t>4 · Presentation</t>
        </is>
      </c>
      <c r="B8" s="67" t="inlineStr">
        <is>
          <t>Conformed star-ready table for the marts</t>
        </is>
      </c>
      <c r="C8" s="67" t="inlineStr">
        <is>
          <t>Measure: Total Weight = SUM(WeightKG); tonnes = kg / 1000</t>
        </is>
      </c>
      <c r="D8" s="67" t="inlineStr">
        <is>
          <t>Card = 578,650; bar by SourceSystem = 206.5 / 295.25 / 76.9 t</t>
        </is>
      </c>
      <c r="E8" s="67" t="inlineStr">
        <is>
          <t>Measure definitions versioned with the model</t>
        </is>
      </c>
    </row>
    <row r="9" ht="57.75" customHeight="1" s="56">
      <c r="A9" s="109" t="inlineStr">
        <is>
          <t>5 · Report</t>
        </is>
      </c>
      <c r="B9" s="67" t="inlineStr">
        <is>
          <t>One page: validation card + by-source bar + status counts</t>
        </is>
      </c>
      <c r="C9" s="67" t="inlineStr">
        <is>
          <t>Titles state findings; no raw queries visible</t>
        </is>
      </c>
      <c r="D9" s="67" t="inlineStr">
        <is>
          <t>Status 22 / 8 / 4; date trap MR-1003 = 03-Feb-2026 ✔</t>
        </is>
      </c>
      <c r="E9" s="67" t="inlineStr">
        <is>
          <t>Report publish date + dataset refresh timestamp</t>
        </is>
      </c>
    </row>
    <row r="11" ht="15" customHeight="1" s="56">
      <c r="A11" s="65" t="inlineStr">
        <is>
          <t>Where do tonnes become kilograms — and why there and not in the dashboard? In rail_stg staging: WeightKG = [Weight (Tons)] * 1000. In staging because the conversion is a single governed rule applied once on the way in — done in the dashboard, every visual would need its own formula and they would eventually disagree.</t>
        </is>
      </c>
      <c r="B11" s="87" t="n"/>
      <c r="C11" s="87" t="n"/>
      <c r="D11" s="87" t="n"/>
      <c r="E11" s="88" t="n"/>
    </row>
    <row r="12" ht="30" customHeight="1" s="56">
      <c r="A12" s="67" t="n"/>
      <c r="B12" s="87" t="n"/>
      <c r="C12" s="87" t="n"/>
      <c r="D12" s="87" t="n"/>
      <c r="E12" s="88" t="n"/>
    </row>
  </sheetData>
  <mergeCells count="3">
    <mergeCell ref="A11:E11"/>
    <mergeCell ref="A2:F2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5" min="1" max="1"/>
    <col width="11" customWidth="1" style="55" min="2" max="9"/>
  </cols>
  <sheetData>
    <row r="1" ht="27.75" customHeight="1" s="56">
      <c r="A1" s="57" t="inlineStr">
        <is>
          <t>Task 6 · Kimball Bus Matrix (7 min)</t>
        </is>
      </c>
    </row>
    <row r="2" ht="43.5" customHeight="1" s="56">
      <c r="A2" s="58" t="inlineStr">
        <is>
          <t>Rows = PakFreight business processes (each becomes one star schema). Columns = dimensions. Put X where a process needs that dimension. Dimensions used by many processes must be CONFORMED (built once, shared by all stars) — that is what stops stovepipes.</t>
        </is>
      </c>
    </row>
    <row r="4" ht="31.5" customHeight="1" s="56">
      <c r="A4" s="62" t="inlineStr">
        <is>
          <t>Business process (fact table)</t>
        </is>
      </c>
      <c r="B4" s="62" t="inlineStr">
        <is>
          <t>Date</t>
        </is>
      </c>
      <c r="C4" s="62" t="inlineStr">
        <is>
          <t>Customer</t>
        </is>
      </c>
      <c r="D4" s="62" t="inlineStr">
        <is>
          <t>Route</t>
        </is>
      </c>
      <c r="E4" s="62" t="inlineStr">
        <is>
          <t>Vehicle</t>
        </is>
      </c>
      <c r="F4" s="62" t="inlineStr">
        <is>
          <t>Driver</t>
        </is>
      </c>
      <c r="G4" s="62" t="inlineStr">
        <is>
          <t>Station / Port</t>
        </is>
      </c>
      <c r="H4" s="62" t="inlineStr">
        <is>
          <t>Commodity</t>
        </is>
      </c>
      <c r="I4" s="62" t="inlineStr">
        <is>
          <t>Dims used</t>
        </is>
      </c>
    </row>
    <row r="5" ht="15" customHeight="1" s="56">
      <c r="A5" s="65" t="inlineStr">
        <is>
          <t>Shipments</t>
        </is>
      </c>
      <c r="B5" s="66" t="inlineStr">
        <is>
          <t>X</t>
        </is>
      </c>
      <c r="C5" s="66" t="inlineStr">
        <is>
          <t>X</t>
        </is>
      </c>
      <c r="D5" s="66" t="inlineStr">
        <is>
          <t>X</t>
        </is>
      </c>
      <c r="E5" s="66" t="inlineStr">
        <is>
          <t>X</t>
        </is>
      </c>
      <c r="F5" s="66" t="n"/>
      <c r="G5" s="66" t="inlineStr">
        <is>
          <t>X</t>
        </is>
      </c>
      <c r="H5" s="66" t="inlineStr">
        <is>
          <t>X</t>
        </is>
      </c>
      <c r="I5" s="63">
        <f>COUNTIF(B5:H5,"X")</f>
        <v/>
      </c>
    </row>
    <row r="6" ht="15" customHeight="1" s="56">
      <c r="A6" s="65" t="inlineStr">
        <is>
          <t>Billing &amp; Invoicing</t>
        </is>
      </c>
      <c r="B6" s="110" t="inlineStr">
        <is>
          <t>X</t>
        </is>
      </c>
      <c r="C6" s="110" t="inlineStr">
        <is>
          <t>X</t>
        </is>
      </c>
      <c r="D6" s="110" t="inlineStr">
        <is>
          <t>X</t>
        </is>
      </c>
      <c r="E6" s="110" t="n"/>
      <c r="F6" s="110" t="n"/>
      <c r="G6" s="110" t="inlineStr">
        <is>
          <t>X</t>
        </is>
      </c>
      <c r="H6" s="110" t="inlineStr">
        <is>
          <t>X</t>
        </is>
      </c>
      <c r="I6" s="63">
        <f>COUNTIF(B6:H6,"X")</f>
        <v/>
      </c>
    </row>
    <row r="7" ht="15" customHeight="1" s="56">
      <c r="A7" s="65" t="inlineStr">
        <is>
          <t>Fleet Maintenance</t>
        </is>
      </c>
      <c r="B7" s="110" t="inlineStr">
        <is>
          <t>X</t>
        </is>
      </c>
      <c r="C7" s="110" t="n"/>
      <c r="D7" s="110" t="n"/>
      <c r="E7" s="110" t="inlineStr">
        <is>
          <t>X</t>
        </is>
      </c>
      <c r="F7" s="110" t="inlineStr">
        <is>
          <t>X</t>
        </is>
      </c>
      <c r="G7" s="110" t="n"/>
      <c r="H7" s="110" t="n"/>
      <c r="I7" s="63">
        <f>COUNTIF(B7:H7,"X")</f>
        <v/>
      </c>
    </row>
    <row r="8" ht="15" customHeight="1" s="56">
      <c r="A8" s="65" t="inlineStr">
        <is>
          <t>Fuel Purchases</t>
        </is>
      </c>
      <c r="B8" s="110" t="inlineStr">
        <is>
          <t>X</t>
        </is>
      </c>
      <c r="C8" s="110" t="n"/>
      <c r="D8" s="110" t="inlineStr">
        <is>
          <t>X</t>
        </is>
      </c>
      <c r="E8" s="110" t="inlineStr">
        <is>
          <t>X</t>
        </is>
      </c>
      <c r="F8" s="110" t="n"/>
      <c r="G8" s="110" t="inlineStr">
        <is>
          <t>X</t>
        </is>
      </c>
      <c r="H8" s="110" t="n"/>
      <c r="I8" s="63">
        <f>COUNTIF(B8:H8,"X")</f>
        <v/>
      </c>
    </row>
    <row r="9" ht="15" customHeight="1" s="56">
      <c r="A9" s="65" t="inlineStr">
        <is>
          <t>Driver Trips &amp; Hours</t>
        </is>
      </c>
      <c r="B9" s="110" t="inlineStr">
        <is>
          <t>X</t>
        </is>
      </c>
      <c r="C9" s="110" t="n"/>
      <c r="D9" s="110" t="inlineStr">
        <is>
          <t>X</t>
        </is>
      </c>
      <c r="E9" s="110" t="inlineStr">
        <is>
          <t>X</t>
        </is>
      </c>
      <c r="F9" s="110" t="inlineStr">
        <is>
          <t>X</t>
        </is>
      </c>
      <c r="G9" s="110" t="inlineStr">
        <is>
          <t>X</t>
        </is>
      </c>
      <c r="H9" s="110" t="n"/>
      <c r="I9" s="63">
        <f>COUNTIF(B9:H9,"X")</f>
        <v/>
      </c>
    </row>
    <row r="10" ht="15" customHeight="1" s="56">
      <c r="A10" s="65" t="inlineStr">
        <is>
          <t>Customer Complaints</t>
        </is>
      </c>
      <c r="B10" s="110" t="inlineStr">
        <is>
          <t>X</t>
        </is>
      </c>
      <c r="C10" s="110" t="inlineStr">
        <is>
          <t>X</t>
        </is>
      </c>
      <c r="D10" s="110" t="inlineStr">
        <is>
          <t>X</t>
        </is>
      </c>
      <c r="E10" s="110" t="n"/>
      <c r="F10" s="110" t="inlineStr">
        <is>
          <t>X</t>
        </is>
      </c>
      <c r="G10" s="110" t="n"/>
      <c r="H10" s="110" t="inlineStr">
        <is>
          <t>X</t>
        </is>
      </c>
      <c r="I10" s="63">
        <f>COUNTIF(B10:H10,"X")</f>
        <v/>
      </c>
    </row>
    <row r="11" ht="15" customHeight="1" s="56">
      <c r="A11" s="83" t="inlineStr">
        <is>
          <t>Processes using this dim</t>
        </is>
      </c>
      <c r="B11" s="111">
        <f>COUNTIF(B5:B10,"X")</f>
        <v/>
      </c>
      <c r="C11" s="111">
        <f>COUNTIF(C5:C10,"X")</f>
        <v/>
      </c>
      <c r="D11" s="111">
        <f>COUNTIF(D5:D10,"X")</f>
        <v/>
      </c>
      <c r="E11" s="111">
        <f>COUNTIF(E5:E10,"X")</f>
        <v/>
      </c>
      <c r="F11" s="111">
        <f>COUNTIF(F5:F10,"X")</f>
        <v/>
      </c>
      <c r="G11" s="111">
        <f>COUNTIF(G5:G10,"X")</f>
        <v/>
      </c>
      <c r="H11" s="111">
        <f>COUNTIF(H5:H10,"X")</f>
        <v/>
      </c>
      <c r="I11" s="84" t="n"/>
    </row>
    <row r="12" ht="15" customHeight="1" s="56">
      <c r="A12" s="106" t="inlineStr">
        <is>
          <t>Row 1 (Shipments) is filled as an example.</t>
        </is>
      </c>
    </row>
    <row r="13">
      <c r="A13" s="55" t="inlineStr">
        <is>
          <t>Q1. Date — every process happens in time, so the Date dimension is conformed first; without one shared calendar nothing can be compared across processes.</t>
        </is>
      </c>
    </row>
    <row r="14" ht="15" customHeight="1" s="56">
      <c r="A14" s="65" t="inlineStr">
        <is>
          <t>Q1. Which dimension is used by EVERY process? Why is it always conformed first?</t>
        </is>
      </c>
      <c r="B14" s="87" t="n"/>
      <c r="C14" s="87" t="n"/>
      <c r="D14" s="87" t="n"/>
      <c r="E14" s="87" t="n"/>
      <c r="F14" s="87" t="n"/>
      <c r="G14" s="87" t="n"/>
      <c r="H14" s="87" t="n"/>
      <c r="I14" s="88" t="n"/>
    </row>
    <row r="15" ht="27.75" customHeight="1" s="56">
      <c r="A15" s="67" t="inlineStr">
        <is>
          <t>Q2. Date, Route (Origin/Destination) and the definition of a shipment's weight — Finance, Ops and Sales must agree on these or the three-totals problem returns.</t>
        </is>
      </c>
      <c r="B15" s="87" t="n"/>
      <c r="C15" s="87" t="n"/>
      <c r="D15" s="87" t="n"/>
      <c r="E15" s="87" t="n"/>
      <c r="F15" s="87" t="n"/>
      <c r="G15" s="87" t="n"/>
      <c r="H15" s="87" t="n"/>
      <c r="I15" s="88" t="n"/>
    </row>
    <row r="16" ht="15" customHeight="1" s="56">
      <c r="A16" s="65" t="inlineStr">
        <is>
          <t>Q2. Which 2–3 dimensions must Finance, Ops and Sales agree on to stop the '3 different totals' problem?</t>
        </is>
      </c>
      <c r="B16" s="87" t="n"/>
      <c r="C16" s="87" t="n"/>
      <c r="D16" s="87" t="n"/>
      <c r="E16" s="87" t="n"/>
      <c r="F16" s="87" t="n"/>
      <c r="G16" s="87" t="n"/>
      <c r="H16" s="87" t="n"/>
      <c r="I16" s="88" t="n"/>
    </row>
    <row r="17" ht="27.75" customHeight="1" s="56">
      <c r="A17" s="67" t="inlineStr">
        <is>
          <t>Q3. No — bottom-up still plans: the matrix IS the plan. It proves Kimball designs conformance up front, then builds one process at a time.</t>
        </is>
      </c>
      <c r="B17" s="87" t="n"/>
      <c r="C17" s="87" t="n"/>
      <c r="D17" s="87" t="n"/>
      <c r="E17" s="87" t="n"/>
      <c r="F17" s="87" t="n"/>
      <c r="G17" s="87" t="n"/>
      <c r="H17" s="87" t="n"/>
      <c r="I17" s="88" t="n"/>
    </row>
    <row r="18" ht="15" customHeight="1" s="56">
      <c r="A18" s="65" t="inlineStr">
        <is>
          <t>Q3. Kimball is 'bottom-up'. Does that mean he doesn't plan? What does this matrix prove?</t>
        </is>
      </c>
      <c r="B18" s="87" t="n"/>
      <c r="C18" s="87" t="n"/>
      <c r="D18" s="87" t="n"/>
      <c r="E18" s="87" t="n"/>
      <c r="F18" s="87" t="n"/>
      <c r="G18" s="87" t="n"/>
      <c r="H18" s="87" t="n"/>
      <c r="I18" s="88" t="n"/>
    </row>
    <row r="19" ht="27.75" customHeight="1" s="56">
      <c r="A19" s="67" t="inlineStr">
        <is>
          <t>Q4. Billing &amp; Invoicing — it reuses Date, Customer and Route from Shipments, which is exactly what the COO needs to see margin per shipment.</t>
        </is>
      </c>
      <c r="B19" s="87" t="n"/>
      <c r="C19" s="87" t="n"/>
      <c r="D19" s="87" t="n"/>
      <c r="E19" s="87" t="n"/>
      <c r="F19" s="87" t="n"/>
      <c r="G19" s="87" t="n"/>
      <c r="H19" s="87" t="n"/>
      <c r="I19" s="88" t="n"/>
    </row>
    <row r="20" ht="15" customHeight="1" s="56">
      <c r="A20" s="65" t="inlineStr">
        <is>
          <t>Q4. Which row would you build first for the COO, and why?</t>
        </is>
      </c>
      <c r="B20" s="87" t="n"/>
      <c r="C20" s="87" t="n"/>
      <c r="D20" s="87" t="n"/>
      <c r="E20" s="87" t="n"/>
      <c r="F20" s="87" t="n"/>
      <c r="G20" s="87" t="n"/>
      <c r="H20" s="87" t="n"/>
      <c r="I20" s="88" t="n"/>
    </row>
    <row r="21" ht="27.75" customHeight="1" s="56">
      <c r="A21" s="67" t="n"/>
      <c r="B21" s="87" t="n"/>
      <c r="C21" s="87" t="n"/>
      <c r="D21" s="87" t="n"/>
      <c r="E21" s="87" t="n"/>
      <c r="F21" s="87" t="n"/>
      <c r="G21" s="87" t="n"/>
      <c r="H21" s="87" t="n"/>
      <c r="I21" s="88" t="n"/>
    </row>
  </sheetData>
  <mergeCells count="9">
    <mergeCell ref="A15:I15"/>
    <mergeCell ref="A19:I19"/>
    <mergeCell ref="A2:I2"/>
    <mergeCell ref="A14:I14"/>
    <mergeCell ref="A17:I17"/>
    <mergeCell ref="A18:I18"/>
    <mergeCell ref="A20:I20"/>
    <mergeCell ref="A21:I21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55" min="1" max="1"/>
    <col width="70" customWidth="1" style="55" min="2" max="2"/>
    <col width="20" customWidth="1" style="55" min="3" max="3"/>
    <col width="46" customWidth="1" style="55" min="4" max="4"/>
  </cols>
  <sheetData>
    <row r="1" ht="27.75" customHeight="1" s="56">
      <c r="A1" s="57" t="inlineStr">
        <is>
          <t>Task 7 · Inmon, Kimball or Hybrid? (5 min)</t>
        </is>
      </c>
    </row>
    <row r="2" ht="43.5" customHeight="1" s="56">
      <c r="A2" s="58" t="inlineStr">
        <is>
          <t>Pick from the drop-down for each statement and give a one-line reason. Your teacher will reveal the answers.</t>
        </is>
      </c>
    </row>
    <row r="4" ht="31.5" customHeight="1" s="56">
      <c r="A4" s="62" t="inlineStr">
        <is>
          <t>#</t>
        </is>
      </c>
      <c r="B4" s="62" t="inlineStr">
        <is>
          <t>Statement / scenario</t>
        </is>
      </c>
      <c r="C4" s="62" t="inlineStr">
        <is>
          <t>Inmon · Kimball · Hybrid</t>
        </is>
      </c>
      <c r="D4" s="62" t="inlineStr">
        <is>
          <t>Why? (one line)</t>
        </is>
      </c>
    </row>
    <row r="5" ht="31.5" customHeight="1" s="56">
      <c r="A5" s="63" t="n">
        <v>1</v>
      </c>
      <c r="B5" s="64" t="inlineStr">
        <is>
          <t>A bank must integrate 40 systems into one enterprise model for regulators before anyone builds reports.</t>
        </is>
      </c>
      <c r="C5" s="110" t="inlineStr">
        <is>
          <t>Inmon</t>
        </is>
      </c>
      <c r="D5" s="67" t="inlineStr">
        <is>
          <t>Regulators need one governed enterprise model before any reporting exists</t>
        </is>
      </c>
    </row>
    <row r="6" ht="31.5" customHeight="1" s="56">
      <c r="A6" s="63" t="n">
        <v>2</v>
      </c>
      <c r="B6" s="64" t="inlineStr">
        <is>
          <t>PakFreight's COO wants a useful shipments dashboard within 3 months.</t>
        </is>
      </c>
      <c r="C6" s="110" t="inlineStr">
        <is>
          <t>Kimball</t>
        </is>
      </c>
      <c r="D6" s="67" t="inlineStr">
        <is>
          <t>A useful dashboard in 3 months means one mart first, value early</t>
        </is>
      </c>
    </row>
    <row r="7" ht="31.5" customHeight="1" s="56">
      <c r="A7" s="63" t="n">
        <v>3</v>
      </c>
      <c r="B7" s="64" t="inlineStr">
        <is>
          <t>The core warehouse is stored in normalised third normal form (3NF).</t>
        </is>
      </c>
      <c r="C7" s="110" t="inlineStr">
        <is>
          <t>Inmon</t>
        </is>
      </c>
      <c r="D7" s="67" t="inlineStr">
        <is>
          <t>A normalised 3NF enterprise warehouse is Inmon's CIF</t>
        </is>
      </c>
    </row>
    <row r="8" ht="31.5" customHeight="1" s="56">
      <c r="A8" s="63" t="n">
        <v>4</v>
      </c>
      <c r="B8" s="64" t="inlineStr">
        <is>
          <t>Data marts ARE the presentation area, tied together by conformed dimensions.</t>
        </is>
      </c>
      <c r="C8" s="110" t="inlineStr">
        <is>
          <t>Kimball</t>
        </is>
      </c>
      <c r="D8" s="67" t="inlineStr">
        <is>
          <t>Marts as the presentation area tied by conformed dimensions is the bus</t>
        </is>
      </c>
    </row>
    <row r="9" ht="31.5" customHeight="1" s="56">
      <c r="A9" s="63" t="n">
        <v>5</v>
      </c>
      <c r="B9" s="64" t="inlineStr">
        <is>
          <t>The bus matrix is planned for the whole company, but built one process at a time.</t>
        </is>
      </c>
      <c r="C9" s="110" t="inlineStr">
        <is>
          <t>Kimball</t>
        </is>
      </c>
      <c r="D9" s="67" t="inlineStr">
        <is>
          <t>Plan the bus for the company, build one business process at a time</t>
        </is>
      </c>
    </row>
    <row r="10" ht="31.5" customHeight="1" s="56">
      <c r="A10" s="63" t="n">
        <v>6</v>
      </c>
      <c r="B10" s="64" t="inlineStr">
        <is>
          <t>Departments get dependent marts that are derived from the central EDW.</t>
        </is>
      </c>
      <c r="C10" s="110" t="inlineStr">
        <is>
          <t>Inmon</t>
        </is>
      </c>
      <c r="D10" s="67" t="inlineStr">
        <is>
          <t>Dependent marts derived from the central EDW is top-down</t>
        </is>
      </c>
    </row>
    <row r="11" ht="31.5" customHeight="1" s="56">
      <c r="A11" s="63" t="n">
        <v>7</v>
      </c>
      <c r="B11" s="64" t="inlineStr">
        <is>
          <t>Biggest risk: a long wait before users see any value.</t>
        </is>
      </c>
      <c r="C11" s="110" t="inlineStr">
        <is>
          <t>Inmon</t>
        </is>
      </c>
      <c r="D11" s="67" t="inlineStr">
        <is>
          <t>The long wait for value is the classic risk of top-down builds</t>
        </is>
      </c>
    </row>
    <row r="12" ht="31.5" customHeight="1" s="56">
      <c r="A12" s="63" t="n">
        <v>8</v>
      </c>
      <c r="B12" s="64" t="inlineStr">
        <is>
          <t>Biggest risk: sliding back into stovepipes if teams ignore conformance.</t>
        </is>
      </c>
      <c r="C12" s="110" t="inlineStr">
        <is>
          <t>Kimball</t>
        </is>
      </c>
      <c r="D12" s="67" t="inlineStr">
        <is>
          <t>Bottom-up marts drift into stovepipes when teams ignore conformance</t>
        </is>
      </c>
    </row>
    <row r="13" ht="31.5" customHeight="1" s="56">
      <c r="A13" s="63" t="n">
        <v>9</v>
      </c>
      <c r="B13" s="64" t="inlineStr">
        <is>
          <t>Start from the data; users discover real requirements after they see it (CLDS).</t>
        </is>
      </c>
      <c r="C13" s="110" t="inlineStr">
        <is>
          <t>Kimball</t>
        </is>
      </c>
      <c r="D13" s="67" t="inlineStr">
        <is>
          <t>Data-first discovery (CLDS) is Kimball's lifecycle</t>
        </is>
      </c>
    </row>
    <row r="14" ht="31.5" customHeight="1" s="56">
      <c r="A14" s="63" t="n">
        <v>10</v>
      </c>
      <c r="B14" s="64" t="inlineStr">
        <is>
          <t>Bronze raw files → Silver cleaned &amp; integrated tables → Gold star schemas in Microsoft Fabric.</t>
        </is>
      </c>
      <c r="C14" s="110" t="inlineStr">
        <is>
          <t>Hybrid</t>
        </is>
      </c>
      <c r="D14" s="67" t="inlineStr">
        <is>
          <t>Medallion borrows both: centrally engineered layers plus domain marts</t>
        </is>
      </c>
    </row>
  </sheetData>
  <mergeCells count="1">
    <mergeCell ref="A2:D2"/>
  </mergeCells>
  <dataValidations count="1">
    <dataValidation sqref="C5:C14" showDropDown="0" showInputMessage="0" showErrorMessage="0" allowBlank="1" type="list" errorStyle="stop" operator="between">
      <formula1>"Inmon,Kimball,Hybrid"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2026-10-03T01:44:29Z</dcterms:created>
  <dcterms:modified xsi:type="dcterms:W3CDTF">2026-10-13T08:10:48Z</dcterms:modified>
  <cp:revision>0</cp:revision>
</cp:coreProperties>
</file>