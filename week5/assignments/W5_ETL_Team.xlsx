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he Files" sheetId="2" state="visible" r:id="rId2"/>
    <sheet xmlns:r="http://schemas.openxmlformats.org/officeDocument/2006/relationships" name="T1 Defect Census" sheetId="3" state="visible" r:id="rId3"/>
    <sheet xmlns:r="http://schemas.openxmlformats.org/officeDocument/2006/relationships" name="T2 Stage Ownership" sheetId="4" state="visible" r:id="rId4"/>
    <sheet xmlns:r="http://schemas.openxmlformats.org/officeDocument/2006/relationships" name="T3 Seventeen Steps" sheetId="5" state="visible" r:id="rId5"/>
    <sheet xmlns:r="http://schemas.openxmlformats.org/officeDocument/2006/relationships" name="T4 Row Arithmetic" sheetId="6" state="visible" r:id="rId6"/>
    <sheet xmlns:r="http://schemas.openxmlformats.org/officeDocument/2006/relationships" name="T5 Locale Trap" sheetId="7" state="visible" r:id="rId7"/>
    <sheet xmlns:r="http://schemas.openxmlformats.org/officeDocument/2006/relationships" name="T6 Loud Or Quiet" sheetId="8" state="visible" r:id="rId8"/>
    <sheet xmlns:r="http://schemas.openxmlformats.org/officeDocument/2006/relationships" name="T7 Definition Of Done"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color rgb="00FFFFFF"/>
      <sz val="10"/>
    </font>
    <font>
      <name val="Calibri"/>
      <b val="1"/>
      <color rgb="00005A8C"/>
      <sz val="11"/>
    </font>
    <font>
      <name val="Calibri"/>
      <color rgb="0016202E"/>
      <sz val="10"/>
    </font>
    <font>
      <name val="Calibri"/>
      <b val="1"/>
      <color rgb="00FFFFFF"/>
      <sz val="10"/>
    </font>
    <font>
      <name val="Calibri"/>
      <b val="1"/>
      <color rgb="0016202E"/>
      <sz val="10"/>
    </font>
    <font>
      <name val="Calibri"/>
      <color rgb="005B6573"/>
      <sz val="9"/>
    </font>
    <font>
      <name val="Calibri"/>
      <sz val="10"/>
    </font>
    <font>
      <name val="Calibri"/>
      <b val="1"/>
      <color rgb="0000704F"/>
      <sz val="10"/>
    </font>
    <font>
      <name val="Calibri"/>
      <i val="1"/>
      <color rgb="007A4E00"/>
      <sz val="9"/>
    </font>
    <font>
      <name val="Consolas"/>
      <sz val="9"/>
    </font>
    <font>
      <name val="Calibri"/>
      <b val="1"/>
      <color rgb="00922B21"/>
      <sz val="10"/>
    </font>
  </fonts>
  <fills count="11">
    <fill>
      <patternFill/>
    </fill>
    <fill>
      <patternFill patternType="gray125"/>
    </fill>
    <fill>
      <patternFill patternType="solid">
        <fgColor rgb="0016202E"/>
      </patternFill>
    </fill>
    <fill>
      <patternFill patternType="solid">
        <fgColor rgb="002C3A4F"/>
      </patternFill>
    </fill>
    <fill>
      <patternFill patternType="solid">
        <fgColor rgb="00EAF2F8"/>
      </patternFill>
    </fill>
    <fill>
      <patternFill patternType="solid">
        <fgColor rgb="00F4F7FA"/>
      </patternFill>
    </fill>
    <fill>
      <patternFill patternType="solid">
        <fgColor rgb="00005A8C"/>
      </patternFill>
    </fill>
    <fill>
      <patternFill patternType="solid">
        <fgColor rgb="00EDF1F5"/>
      </patternFill>
    </fill>
    <fill>
      <patternFill patternType="solid">
        <fgColor rgb="00FFF3CD"/>
      </patternFill>
    </fill>
    <fill>
      <patternFill patternType="solid">
        <fgColor rgb="00E8F6EF"/>
      </patternFill>
    </fill>
    <fill>
      <patternFill patternType="solid">
        <fgColor rgb="00FFF8DC"/>
      </patternFill>
    </fill>
  </fills>
  <borders count="11">
    <border>
      <left/>
      <right/>
      <top/>
      <bottom/>
      <diagonal/>
    </border>
    <border>
      <left style="thin">
        <color rgb="00C9D4E3"/>
      </left>
      <right style="thin">
        <color rgb="00C9D4E3"/>
      </right>
      <top style="thin">
        <color rgb="00C9D4E3"/>
      </top>
      <bottom style="thin">
        <color rgb="00C9D4E3"/>
      </bottom>
    </border>
    <border>
      <left/>
      <right/>
      <top style="thin">
        <color rgb="00C9D4E3"/>
      </top>
      <bottom/>
      <diagonal/>
    </border>
    <border>
      <left/>
      <right style="thin">
        <color rgb="00C9D4E3"/>
      </right>
      <top style="thin">
        <color rgb="00C9D4E3"/>
      </top>
      <bottom/>
      <diagonal/>
    </border>
    <border>
      <left/>
      <right style="thin">
        <color rgb="00C9D4E3"/>
      </right>
      <top style="thin">
        <color rgb="00C9D4E3"/>
      </top>
      <bottom style="thin">
        <color rgb="00C9D4E3"/>
      </bottom>
      <diagonal/>
    </border>
    <border>
      <left/>
      <right/>
      <top style="thin">
        <color rgb="00C9D4E3"/>
      </top>
      <bottom style="thin">
        <color rgb="00C9D4E3"/>
      </bottom>
      <diagonal/>
    </border>
    <border>
      <left style="thin">
        <color rgb="00C9D4E3"/>
      </left>
      <right/>
      <top/>
      <bottom/>
      <diagonal/>
    </border>
    <border>
      <left/>
      <right style="thin">
        <color rgb="00C9D4E3"/>
      </right>
      <top/>
      <bottom/>
      <diagonal/>
    </border>
    <border>
      <left style="thin">
        <color rgb="00C9D4E3"/>
      </left>
      <right/>
      <top/>
      <bottom style="thin">
        <color rgb="00C9D4E3"/>
      </bottom>
      <diagonal/>
    </border>
    <border>
      <left/>
      <right/>
      <top/>
      <bottom style="thin">
        <color rgb="00C9D4E3"/>
      </bottom>
      <diagonal/>
    </border>
    <border>
      <left/>
      <right style="thin">
        <color rgb="00C9D4E3"/>
      </right>
      <top/>
      <bottom style="thin">
        <color rgb="00C9D4E3"/>
      </bottom>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5" borderId="0" applyAlignment="1" pivotButton="0" quotePrefix="0" xfId="0">
      <alignment vertical="center" wrapText="1" indent="1"/>
    </xf>
    <xf numFmtId="0" fontId="5" fillId="6" borderId="1" applyAlignment="1" pivotButton="0" quotePrefix="0" xfId="0">
      <alignment horizontal="center" vertical="center" wrapText="1"/>
    </xf>
    <xf numFmtId="0" fontId="6" fillId="7" borderId="1" applyAlignment="1" pivotButton="0" quotePrefix="0" xfId="0">
      <alignment horizontal="center" vertical="center"/>
    </xf>
    <xf numFmtId="0" fontId="6" fillId="0" borderId="1" applyAlignment="1" pivotButton="0" quotePrefix="0" xfId="0">
      <alignment vertical="top" wrapText="1"/>
    </xf>
    <xf numFmtId="0" fontId="7" fillId="0" borderId="1" applyAlignment="1" pivotButton="0" quotePrefix="0" xfId="0">
      <alignment vertical="top" wrapText="1"/>
    </xf>
    <xf numFmtId="3" fontId="6" fillId="0" borderId="1" applyAlignment="1" pivotButton="0" quotePrefix="0" xfId="0">
      <alignment horizontal="center" vertical="center"/>
    </xf>
    <xf numFmtId="0" fontId="7" fillId="0" borderId="1" applyAlignment="1" pivotButton="0" quotePrefix="0" xfId="0">
      <alignment horizontal="center" vertical="center"/>
    </xf>
    <xf numFmtId="0" fontId="6" fillId="7" borderId="1" applyAlignment="1" pivotButton="0" quotePrefix="0" xfId="0">
      <alignment horizontal="right" vertical="center"/>
    </xf>
    <xf numFmtId="3" fontId="6" fillId="7" borderId="1" applyAlignment="1" pivotButton="0" quotePrefix="0" xfId="0">
      <alignment horizontal="center" vertical="center"/>
    </xf>
    <xf numFmtId="0" fontId="7" fillId="7" borderId="1" applyAlignment="1" pivotButton="0" quotePrefix="0" xfId="0">
      <alignment vertical="top" wrapText="1"/>
    </xf>
    <xf numFmtId="0" fontId="0" fillId="0" borderId="4" pivotButton="0" quotePrefix="0" xfId="0"/>
    <xf numFmtId="0" fontId="8" fillId="5" borderId="1" applyAlignment="1" pivotButton="0" quotePrefix="0" xfId="0">
      <alignment vertical="top" wrapText="1"/>
    </xf>
    <xf numFmtId="0" fontId="8" fillId="7" borderId="1" applyAlignment="1" pivotButton="0" quotePrefix="0" xfId="0">
      <alignment vertical="top" wrapText="1"/>
    </xf>
    <xf numFmtId="0" fontId="9" fillId="0" borderId="1" applyAlignment="1" pivotButton="0" quotePrefix="0" xfId="0">
      <alignment horizontal="center" vertical="center"/>
    </xf>
    <xf numFmtId="0" fontId="10" fillId="8" borderId="0" applyAlignment="1" pivotButton="0" quotePrefix="0" xfId="0">
      <alignment vertical="center" wrapText="1" indent="1"/>
    </xf>
    <xf numFmtId="0" fontId="6" fillId="0" borderId="1" applyAlignment="1" pivotButton="0" quotePrefix="0" xfId="0">
      <alignment horizontal="center" vertical="center"/>
    </xf>
    <xf numFmtId="0" fontId="11" fillId="7" borderId="1" applyAlignment="1" pivotButton="0" quotePrefix="0" xfId="0">
      <alignment vertical="top" wrapText="1"/>
    </xf>
    <xf numFmtId="3" fontId="9" fillId="0" borderId="1" applyAlignment="1" pivotButton="0" quotePrefix="0" xfId="0">
      <alignment horizontal="center" vertical="center"/>
    </xf>
    <xf numFmtId="3" fontId="8" fillId="0" borderId="1" applyAlignment="1" pivotButton="0" quotePrefix="0" xfId="0">
      <alignment horizontal="center" vertical="center"/>
    </xf>
    <xf numFmtId="0" fontId="9" fillId="9" borderId="1" applyAlignment="1" pivotButton="0" quotePrefix="0" xfId="0">
      <alignment vertical="top" wrapText="1"/>
    </xf>
    <xf numFmtId="0" fontId="0" fillId="9" borderId="1" pivotButton="0" quotePrefix="0" xfId="0"/>
    <xf numFmtId="0" fontId="0" fillId="7" borderId="1" pivotButton="0" quotePrefix="0" xfId="0"/>
    <xf numFmtId="0" fontId="11" fillId="8" borderId="1" applyAlignment="1" pivotButton="0" quotePrefix="0" xfId="0">
      <alignment vertical="top" wrapText="1"/>
    </xf>
    <xf numFmtId="0" fontId="8" fillId="0" borderId="1" applyAlignment="1" pivotButton="0" quotePrefix="0" xfId="0">
      <alignment vertical="top" wrapText="1"/>
    </xf>
    <xf numFmtId="0" fontId="0" fillId="0" borderId="1" pivotButton="0" quotePrefix="0" xfId="0"/>
    <xf numFmtId="0" fontId="8" fillId="10" borderId="1" applyAlignment="1" pivotButton="0" quotePrefix="0" xfId="0">
      <alignment horizontal="center" vertical="center"/>
    </xf>
    <xf numFmtId="0" fontId="7" fillId="10" borderId="1" applyAlignment="1" pivotButton="0" quotePrefix="0" xfId="0">
      <alignment vertical="top" wrapText="1"/>
    </xf>
    <xf numFmtId="0" fontId="8" fillId="7" borderId="1" applyAlignment="1" pivotButton="0" quotePrefix="0" xfId="0">
      <alignment horizontal="center" vertical="center"/>
    </xf>
    <xf numFmtId="0" fontId="6" fillId="7" borderId="1" applyAlignment="1" pivotButton="0" quotePrefix="0" xfId="0">
      <alignment vertical="top" wrapText="1"/>
    </xf>
    <xf numFmtId="0" fontId="8" fillId="10" borderId="1" applyAlignment="1" pivotButton="0" quotePrefix="0" xfId="0">
      <alignment vertical="top" wrapText="1"/>
    </xf>
    <xf numFmtId="0" fontId="0" fillId="10" borderId="1" pivotButton="0" quotePrefix="0" xfId="0"/>
    <xf numFmtId="3" fontId="8" fillId="10" borderId="1" applyAlignment="1" pivotButton="0" quotePrefix="0" xfId="0">
      <alignment horizontal="center" vertical="center"/>
    </xf>
    <xf numFmtId="0" fontId="6" fillId="0" borderId="1" applyAlignment="1" pivotButton="0" quotePrefix="0" xfId="0">
      <alignment horizontal="right" vertical="center"/>
    </xf>
    <xf numFmtId="0" fontId="11" fillId="10" borderId="1" applyAlignment="1" pivotButton="0" quotePrefix="0" xfId="0">
      <alignment vertical="top" wrapText="1"/>
    </xf>
    <xf numFmtId="0" fontId="12" fillId="8" borderId="1" applyAlignment="1" pivotButton="0" quotePrefix="0" xfId="0">
      <alignment vertical="top" wrapText="1"/>
    </xf>
    <xf numFmtId="0" fontId="11" fillId="7" borderId="1" applyAlignment="1" pivotButton="0" quotePrefix="0" xfId="0">
      <alignment horizontal="center" vertical="center"/>
    </xf>
    <xf numFmtId="3" fontId="11" fillId="7" borderId="1" applyAlignment="1" pivotButton="0" quotePrefix="0" xfId="0">
      <alignment horizontal="center" vertical="center"/>
    </xf>
    <xf numFmtId="0" fontId="12" fillId="0" borderId="1" applyAlignment="1" pivotButton="0" quotePrefix="0" xfId="0">
      <alignment vertical="top" wrapText="1"/>
    </xf>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6" customWidth="1" min="1" max="1"/>
    <col width="34" customWidth="1" min="2" max="2"/>
    <col width="52" customWidth="1" min="3" max="3"/>
    <col width="10" customWidth="1" min="4" max="4"/>
    <col width="11" customWidth="1" min="5" max="5"/>
    <col width="30" customWidth="1" min="6" max="6"/>
  </cols>
  <sheetData>
    <row r="1" ht="30" customHeight="1">
      <c r="A1" s="1" t="inlineStr">
        <is>
          <t>PakFreight ETL Lab — Week 5 Activity</t>
        </is>
      </c>
    </row>
    <row r="2" ht="30" customHeight="1">
      <c r="A2" s="2" t="inlineStr">
        <is>
          <t>Data Warehousing &amp; Business Intelligence · Week 5 — The ETL Process · CLO3 · The Superior University, Lahore</t>
        </is>
      </c>
    </row>
    <row r="3"/>
    <row r="4" ht="22" customHeight="1">
      <c r="A4" s="3" t="inlineStr">
        <is>
          <t>THE SITUATION</t>
        </is>
      </c>
    </row>
    <row r="5" ht="96" customHeight="1">
      <c r="A5" s="4" t="inlineStr">
        <is>
          <t>Week 2 opened three files, fixed them by hand, and pasted the result into one sheet. That produced a correct table and zero reusable work. Week 4 wired an empty star and left it waiting. Tonight's file arrives at 02:00 and nobody is awake to paste it.
This week you build the machine that loads the star. The deliverable is not the table — Week 2 already produced the table. It is the seventeen steps, in order, with their names on them, and the test of it is that tomorrow it runs without you.</t>
        </is>
      </c>
    </row>
    <row r="6"/>
    <row r="7" ht="22" customHeight="1">
      <c r="A7" s="3" t="inlineStr">
        <is>
          <t>THE SEVEN TASKS</t>
        </is>
      </c>
    </row>
    <row r="8" ht="32" customHeight="1">
      <c r="A8" s="5" t="inlineStr">
        <is>
          <t>#</t>
        </is>
      </c>
      <c r="B8" s="5" t="inlineStr">
        <is>
          <t>Task</t>
        </is>
      </c>
      <c r="C8" s="5" t="inlineStr">
        <is>
          <t>What you produce</t>
        </is>
      </c>
      <c r="D8" s="5" t="inlineStr">
        <is>
          <t>Marks</t>
        </is>
      </c>
      <c r="E8" s="5" t="inlineStr">
        <is>
          <t>When</t>
        </is>
      </c>
      <c r="F8" s="5" t="inlineStr">
        <is>
          <t>From the lecture</t>
        </is>
      </c>
    </row>
    <row r="9" ht="30" customHeight="1">
      <c r="A9" s="6" t="inlineStr">
        <is>
          <t>T1</t>
        </is>
      </c>
      <c r="B9" s="7" t="inlineStr">
        <is>
          <t>Defect census</t>
        </is>
      </c>
      <c r="C9" s="8" t="inlineStr">
        <is>
          <t>Ten defects, each tied to the step that clears it and to loud or quiet</t>
        </is>
      </c>
      <c r="D9" s="9" t="n">
        <v>12</v>
      </c>
      <c r="E9" s="10" t="inlineStr">
        <is>
          <t>class</t>
        </is>
      </c>
      <c r="F9" s="8" t="inlineStr">
        <is>
          <t>slides 8–9, 15</t>
        </is>
      </c>
    </row>
    <row r="10" ht="30" customHeight="1">
      <c r="A10" s="6" t="inlineStr">
        <is>
          <t>T2</t>
        </is>
      </c>
      <c r="B10" s="7" t="inlineStr">
        <is>
          <t>Stage ownership</t>
        </is>
      </c>
      <c r="C10" s="8" t="inlineStr">
        <is>
          <t>Twelve activities sorted into Extract, Transform, Load — or Violation</t>
        </is>
      </c>
      <c r="D10" s="9" t="n">
        <v>12</v>
      </c>
      <c r="E10" s="10" t="inlineStr">
        <is>
          <t>class</t>
        </is>
      </c>
      <c r="F10" s="8" t="inlineStr">
        <is>
          <t>slides 13–16, 18</t>
        </is>
      </c>
    </row>
    <row r="11" ht="30" customHeight="1">
      <c r="A11" s="6" t="inlineStr">
        <is>
          <t>T3</t>
        </is>
      </c>
      <c r="B11" s="7" t="inlineStr">
        <is>
          <t>Order the seventeen steps</t>
        </is>
      </c>
      <c r="C11" s="8" t="inlineStr">
        <is>
          <t>The run order, per-source or once, and the three constraints defended</t>
        </is>
      </c>
      <c r="D11" s="9" t="n">
        <v>20</v>
      </c>
      <c r="E11" s="10" t="inlineStr">
        <is>
          <t>class</t>
        </is>
      </c>
      <c r="F11" s="8" t="inlineStr">
        <is>
          <t>slides 15, 17</t>
        </is>
      </c>
    </row>
    <row r="12" ht="30" customHeight="1">
      <c r="A12" s="6" t="inlineStr">
        <is>
          <t>T4</t>
        </is>
      </c>
      <c r="B12" s="7" t="inlineStr">
        <is>
          <t>Row arithmetic</t>
        </is>
      </c>
      <c r="C12" s="8" t="inlineStr">
        <is>
          <t>37 → 35 → 34, and every wrong total on slide 42 explained by its gap</t>
        </is>
      </c>
      <c r="D12" s="9" t="n">
        <v>15</v>
      </c>
      <c r="E12" s="10" t="inlineStr">
        <is>
          <t>class</t>
        </is>
      </c>
      <c r="F12" s="8" t="inlineStr">
        <is>
          <t>slides 29, 42</t>
        </is>
      </c>
    </row>
    <row r="13" ht="30" customHeight="1">
      <c r="A13" s="6" t="inlineStr">
        <is>
          <t>T5</t>
        </is>
      </c>
      <c r="B13" s="7" t="inlineStr">
        <is>
          <t>The locale trap</t>
        </is>
      </c>
      <c r="C13" s="8" t="inlineStr">
        <is>
          <t>Twelve date strings read two ways, and why reconciliation misses it</t>
        </is>
      </c>
      <c r="D13" s="9" t="n">
        <v>12</v>
      </c>
      <c r="E13" s="10" t="inlineStr">
        <is>
          <t>homework</t>
        </is>
      </c>
      <c r="F13" s="8" t="inlineStr">
        <is>
          <t>slides 28, 32</t>
        </is>
      </c>
    </row>
    <row r="14" ht="30" customHeight="1">
      <c r="A14" s="6" t="inlineStr">
        <is>
          <t>T6</t>
        </is>
      </c>
      <c r="B14" s="7" t="inlineStr">
        <is>
          <t>Loud or quiet</t>
        </is>
      </c>
      <c r="C14" s="8" t="inlineStr">
        <is>
          <t>Six failures classified, and the check that converts each one</t>
        </is>
      </c>
      <c r="D14" s="9" t="n">
        <v>12</v>
      </c>
      <c r="E14" s="10" t="inlineStr">
        <is>
          <t>homework</t>
        </is>
      </c>
      <c r="F14" s="8" t="inlineStr">
        <is>
          <t>slides 20, 41</t>
        </is>
      </c>
    </row>
    <row r="15" ht="30" customHeight="1">
      <c r="A15" s="6" t="inlineStr">
        <is>
          <t>T7</t>
        </is>
      </c>
      <c r="B15" s="7" t="inlineStr">
        <is>
          <t>Definition of done</t>
        </is>
      </c>
      <c r="C15" s="8" t="inlineStr">
        <is>
          <t>Eight checks. All eight must read “pass”, and the −1 count written down</t>
        </is>
      </c>
      <c r="D15" s="9" t="n">
        <v>12</v>
      </c>
      <c r="E15" s="10" t="inlineStr">
        <is>
          <t>homework</t>
        </is>
      </c>
      <c r="F15" s="8" t="inlineStr">
        <is>
          <t>slides 41, 43</t>
        </is>
      </c>
    </row>
    <row r="16">
      <c r="C16" s="11" t="inlineStr">
        <is>
          <t>TOTAL</t>
        </is>
      </c>
      <c r="D16" s="12" t="n">
        <v>95</v>
      </c>
      <c r="E16" s="13" t="inlineStr">
        <is>
          <t>+ 12 in the quick check</t>
        </is>
      </c>
      <c r="F16" s="14" t="n"/>
    </row>
    <row r="17"/>
    <row r="18" ht="22" customHeight="1">
      <c r="A18" s="3" t="inlineStr">
        <is>
          <t>HOW TO WORK</t>
        </is>
      </c>
    </row>
    <row r="19" ht="42" customHeight="1">
      <c r="B19" s="15" t="inlineStr">
        <is>
          <t>Teams of three. Name one person each: the Extractor owns T1 and T2 and may not fix anything while reading; the Sequencer owns T3 and has to defend the order to the room; the Reconciler owns T4 and T7 and has veto power over “it looks fine”.</t>
        </is>
      </c>
      <c r="C19" s="42" t="n"/>
      <c r="D19" s="42" t="n"/>
      <c r="E19" s="42" t="n"/>
      <c r="F19" s="14" t="n"/>
    </row>
    <row r="20" ht="42" customHeight="1">
      <c r="B20" s="15" t="inlineStr">
        <is>
          <t>Do T1 before T3. You cannot order a pipeline against a mess you have not counted. The workbook is ordered this way deliberately, and slide 11 says the same thing: fifty-five minutes before anybody opens a tool.</t>
        </is>
      </c>
      <c r="C20" s="42" t="n"/>
      <c r="D20" s="42" t="n"/>
      <c r="E20" s="42" t="n"/>
      <c r="F20" s="14" t="n"/>
    </row>
    <row r="21" ht="42" customHeight="1">
      <c r="B21" s="15" t="inlineStr">
        <is>
          <t>Type only in cream cells. Grey cells are given to you — the defect list, the step list, the raw date strings. If you are editing a grey cell you have misread the task.</t>
        </is>
      </c>
      <c r="C21" s="42" t="n"/>
      <c r="D21" s="42" t="n"/>
      <c r="E21" s="42" t="n"/>
      <c r="F21" s="14" t="n"/>
    </row>
    <row r="22" ht="42" customHeight="1">
      <c r="B22" s="15" t="inlineStr">
        <is>
          <t>T7 marks itself. Every “✘ fix” means something earlier is still wrong. Go and find it; do not adjust the check.</t>
        </is>
      </c>
      <c r="C22" s="42" t="n"/>
      <c r="D22" s="42" t="n"/>
      <c r="E22" s="42" t="n"/>
      <c r="F22" s="14" t="n"/>
    </row>
    <row r="23" ht="42" customHeight="1">
      <c r="B23" s="15" t="inlineStr">
        <is>
          <t>Every number in this workbook came out of the three files in data/source. So can yours — open them and count. Nothing here has to be taken on trust.</t>
        </is>
      </c>
      <c r="C23" s="42" t="n"/>
      <c r="D23" s="42" t="n"/>
      <c r="E23" s="42" t="n"/>
      <c r="F23" s="14" t="n"/>
    </row>
    <row r="24"/>
    <row r="25" ht="22" customHeight="1">
      <c r="A25" s="3" t="inlineStr">
        <is>
          <t>THE TWO NUMBERS THAT CANNOT MOVE</t>
        </is>
      </c>
    </row>
    <row r="26">
      <c r="B26" s="16" t="inlineStr">
        <is>
          <t>SUM(WeightKG) after the load</t>
        </is>
      </c>
      <c r="C26" s="17" t="inlineStr">
        <is>
          <t>578,650 kg</t>
        </is>
      </c>
      <c r="D26" s="16" t="inlineStr">
        <is>
          <t>SUM(FreightCostPKR)</t>
        </is>
      </c>
      <c r="E26" s="17" t="inlineStr">
        <is>
          <t>PKR 4,808,000</t>
        </is>
      </c>
      <c r="F26" s="14" t="n"/>
    </row>
    <row r="27" ht="42" customHeight="1">
      <c r="A27" s="18" t="inlineStr">
        <is>
          <t>The same two as Week 3 and Week 4. They were verified against the three source files before any of this was written, and a pipeline that changes them has invented data. They are also the weakest checks you have — a locale bug and a status casing bug both pass them perfectly, which is what T5, T6 and T7 are about.</t>
        </is>
      </c>
    </row>
  </sheetData>
  <mergeCells count="15">
    <mergeCell ref="B21:F21"/>
    <mergeCell ref="A2:F2"/>
    <mergeCell ref="E16:F16"/>
    <mergeCell ref="B20:F20"/>
    <mergeCell ref="A1:F1"/>
    <mergeCell ref="A5:F5"/>
    <mergeCell ref="B19:F19"/>
    <mergeCell ref="A27:F27"/>
    <mergeCell ref="B23:F23"/>
    <mergeCell ref="A18:F18"/>
    <mergeCell ref="A4:F4"/>
    <mergeCell ref="B22:F22"/>
    <mergeCell ref="E26:F26"/>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showGridLines="0" workbookViewId="0">
      <selection activeCell="A1" sqref="A1"/>
    </sheetView>
  </sheetViews>
  <sheetFormatPr baseColWidth="8" defaultRowHeight="15"/>
  <cols>
    <col width="5" customWidth="1" min="1" max="1"/>
    <col width="26" customWidth="1" min="2" max="2"/>
    <col width="15" customWidth="1" min="3" max="3"/>
    <col width="30" customWidth="1" min="4" max="4"/>
    <col width="11" customWidth="1" min="5" max="5"/>
    <col width="11" customWidth="1" min="6" max="6"/>
    <col width="40" customWidth="1" min="7" max="7"/>
  </cols>
  <sheetData>
    <row r="1" ht="30" customHeight="1">
      <c r="A1" s="1" t="inlineStr">
        <is>
          <t>The Three Files, As They Arrive — given, do not edit</t>
        </is>
      </c>
    </row>
    <row r="2" ht="30" customHeight="1">
      <c r="A2" s="2" t="inlineStr">
        <is>
          <t>Everything on this sheet was read straight out of data/source. The counts include the junk, because the row count in the extract log has to match the file.</t>
        </is>
      </c>
    </row>
    <row r="3"/>
    <row r="4" ht="22" customHeight="1">
      <c r="A4" s="3" t="inlineStr">
        <is>
          <t>E3 · THE EXTRACT LOG</t>
        </is>
      </c>
    </row>
    <row r="5" ht="32" customHeight="1">
      <c r="A5" s="5" t="inlineStr">
        <is>
          <t>#</t>
        </is>
      </c>
      <c r="B5" s="5" t="inlineStr">
        <is>
          <t>File</t>
        </is>
      </c>
      <c r="C5" s="5" t="inlineStr">
        <is>
          <t>Format</t>
        </is>
      </c>
      <c r="D5" s="5" t="inlineStr">
        <is>
          <t>Extract method</t>
        </is>
      </c>
      <c r="E5" s="5" t="inlineStr">
        <is>
          <t>Rows landed</t>
        </is>
      </c>
      <c r="F5" s="5" t="inlineStr">
        <is>
          <t>Real rows</t>
        </is>
      </c>
      <c r="G5" s="5" t="inlineStr">
        <is>
          <t>What will go wrong first</t>
        </is>
      </c>
    </row>
    <row r="6" ht="30" customHeight="1">
      <c r="A6" s="19" t="n">
        <v>1</v>
      </c>
      <c r="B6" s="20" t="inlineStr">
        <is>
          <t>marine_shipments.csv</t>
        </is>
      </c>
      <c r="C6" s="13" t="inlineStr">
        <is>
          <t>CSV, text dates</t>
        </is>
      </c>
      <c r="D6" s="13" t="inlineStr">
        <is>
          <t>full file read</t>
        </is>
      </c>
      <c r="E6" s="21" t="n">
        <v>12</v>
      </c>
      <c r="F6" s="22" t="n">
        <v>12</v>
      </c>
      <c r="G6" s="8" t="inlineStr">
        <is>
          <t>the ambiguous dd/MM/yyyy date — and it does not announce itself</t>
        </is>
      </c>
    </row>
    <row r="7" ht="30" customHeight="1">
      <c r="A7" s="19" t="n">
        <v>2</v>
      </c>
      <c r="B7" s="20" t="inlineStr">
        <is>
          <t>rail_shipments.xlsx</t>
        </is>
      </c>
      <c r="C7" s="13" t="inlineStr">
        <is>
          <t>Excel, TONS</t>
        </is>
      </c>
      <c r="D7" s="13" t="inlineStr">
        <is>
          <t>named sheet, skip 2 rows</t>
        </is>
      </c>
      <c r="E7" s="21" t="n">
        <v>10</v>
      </c>
      <c r="F7" s="22" t="n">
        <v>10</v>
      </c>
      <c r="G7" s="8" t="inlineStr">
        <is>
          <t>someone inserts a third title row and every header shifts</t>
        </is>
      </c>
    </row>
    <row r="8" ht="30" customHeight="1">
      <c r="A8" s="19" t="n">
        <v>3</v>
      </c>
      <c r="B8" s="20" t="inlineStr">
        <is>
          <t>road_shipments.csv</t>
        </is>
      </c>
      <c r="C8" s="13" t="inlineStr">
        <is>
          <t>CSV, lower headers</t>
        </is>
      </c>
      <c r="D8" s="13" t="inlineStr">
        <is>
          <t>full file read</t>
        </is>
      </c>
      <c r="E8" s="21" t="n">
        <v>15</v>
      </c>
      <c r="F8" s="22" t="n">
        <v>13</v>
      </c>
      <c r="G8" s="8" t="inlineStr">
        <is>
          <t>a blank line, a TOTAL footer that is not a shipment, and rd-505 twice</t>
        </is>
      </c>
    </row>
    <row r="9">
      <c r="D9" s="11" t="inlineStr">
        <is>
          <t>TOTAL LANDED</t>
        </is>
      </c>
      <c r="E9" s="12" t="n">
        <v>37</v>
      </c>
      <c r="F9" s="12" t="n">
        <v>35</v>
      </c>
    </row>
    <row r="10" ht="34" customHeight="1">
      <c r="A10" s="18" t="inlineStr">
        <is>
          <t>Thirty-seven rows arrive and thirty-seven rows land, including the blank one and the TOTAL line. Extract does not correct anything — if it did, you would have no untouched copy to prove the source against, and no way to tell a source problem from your own.</t>
        </is>
      </c>
    </row>
    <row r="11"/>
    <row r="12" ht="22" customHeight="1">
      <c r="A12" s="3" t="inlineStr">
        <is>
          <t>THE SEVEN-NAME CONTRACT — slide 24, agreed before anyone touches a file</t>
        </is>
      </c>
    </row>
    <row r="13" ht="32" customHeight="1">
      <c r="A13" s="5" t="inlineStr">
        <is>
          <t>#</t>
        </is>
      </c>
      <c r="B13" s="5" t="inlineStr">
        <is>
          <t>The common contract</t>
        </is>
      </c>
      <c r="C13" s="5" t="inlineStr"/>
      <c r="D13" s="5" t="inlineStr">
        <is>
          <t>marine_shipments.csv</t>
        </is>
      </c>
      <c r="E13" s="5" t="inlineStr">
        <is>
          <t>road_shipments.csv</t>
        </is>
      </c>
      <c r="F13" s="5" t="inlineStr"/>
      <c r="G13" s="5" t="inlineStr">
        <is>
          <t>rail_shipments.xlsx</t>
        </is>
      </c>
    </row>
    <row r="14" ht="20" customHeight="1">
      <c r="A14" s="19" t="n">
        <v>1</v>
      </c>
      <c r="B14" s="23" t="inlineStr">
        <is>
          <t>ShipmentID</t>
        </is>
      </c>
      <c r="C14" s="14" t="n"/>
      <c r="D14" s="20" t="inlineStr">
        <is>
          <t>Shipment_ID</t>
        </is>
      </c>
      <c r="E14" s="20" t="inlineStr">
        <is>
          <t>trip_id</t>
        </is>
      </c>
      <c r="F14" s="14" t="n"/>
      <c r="G14" s="20" t="inlineStr">
        <is>
          <t>Consignment No</t>
        </is>
      </c>
    </row>
    <row r="15" ht="20" customHeight="1">
      <c r="A15" s="19" t="n">
        <v>2</v>
      </c>
      <c r="B15" s="23" t="inlineStr">
        <is>
          <t>ShipDate</t>
        </is>
      </c>
      <c r="C15" s="14" t="n"/>
      <c r="D15" s="20" t="inlineStr">
        <is>
          <t>Ship_Date</t>
        </is>
      </c>
      <c r="E15" s="20" t="inlineStr">
        <is>
          <t>trip_date</t>
        </is>
      </c>
      <c r="F15" s="14" t="n"/>
      <c r="G15" s="20" t="inlineStr">
        <is>
          <t>Dispatch Date</t>
        </is>
      </c>
    </row>
    <row r="16" ht="20" customHeight="1">
      <c r="A16" s="19" t="n">
        <v>3</v>
      </c>
      <c r="B16" s="23" t="inlineStr">
        <is>
          <t>OriginRaw</t>
        </is>
      </c>
      <c r="C16" s="14" t="n"/>
      <c r="D16" s="20" t="inlineStr">
        <is>
          <t>Origin_Port</t>
        </is>
      </c>
      <c r="E16" s="20" t="inlineStr">
        <is>
          <t>from_city</t>
        </is>
      </c>
      <c r="F16" s="14" t="n"/>
      <c r="G16" s="20" t="inlineStr">
        <is>
          <t>From Station</t>
        </is>
      </c>
    </row>
    <row r="17" ht="20" customHeight="1">
      <c r="A17" s="19" t="n">
        <v>4</v>
      </c>
      <c r="B17" s="23" t="inlineStr">
        <is>
          <t>DestRaw</t>
        </is>
      </c>
      <c r="C17" s="14" t="n"/>
      <c r="D17" s="20" t="inlineStr">
        <is>
          <t>Dest_Port</t>
        </is>
      </c>
      <c r="E17" s="20" t="inlineStr">
        <is>
          <t>to_city</t>
        </is>
      </c>
      <c r="F17" s="14" t="n"/>
      <c r="G17" s="20" t="inlineStr">
        <is>
          <t>To Station</t>
        </is>
      </c>
    </row>
    <row r="18" ht="20" customHeight="1">
      <c r="A18" s="19" t="n">
        <v>5</v>
      </c>
      <c r="B18" s="23" t="inlineStr">
        <is>
          <t>WeightKG</t>
        </is>
      </c>
      <c r="C18" s="14" t="n"/>
      <c r="D18" s="20" t="inlineStr">
        <is>
          <t>Weight_KG</t>
        </is>
      </c>
      <c r="E18" s="20" t="inlineStr">
        <is>
          <t>weight_kg</t>
        </is>
      </c>
      <c r="F18" s="14" t="n"/>
      <c r="G18" s="26" t="inlineStr">
        <is>
          <t>Weight (Tons)   ← NOT kg</t>
        </is>
      </c>
    </row>
    <row r="19" ht="20" customHeight="1">
      <c r="A19" s="19" t="n">
        <v>6</v>
      </c>
      <c r="B19" s="23" t="inlineStr">
        <is>
          <t>FreightCostPKR</t>
        </is>
      </c>
      <c r="C19" s="14" t="n"/>
      <c r="D19" s="20" t="inlineStr">
        <is>
          <t>Cost_PKR</t>
        </is>
      </c>
      <c r="E19" s="20" t="inlineStr">
        <is>
          <t>cost_pkr</t>
        </is>
      </c>
      <c r="F19" s="14" t="n"/>
      <c r="G19" s="20" t="inlineStr">
        <is>
          <t>Freight Charges (PKR)</t>
        </is>
      </c>
    </row>
    <row r="20" ht="20" customHeight="1">
      <c r="A20" s="19" t="n">
        <v>7</v>
      </c>
      <c r="B20" s="23" t="inlineStr">
        <is>
          <t>StatusRaw</t>
        </is>
      </c>
      <c r="C20" s="14" t="n"/>
      <c r="D20" s="20" t="inlineStr">
        <is>
          <t>Status</t>
        </is>
      </c>
      <c r="E20" s="20" t="inlineStr">
        <is>
          <t>status</t>
        </is>
      </c>
      <c r="F20" s="14" t="n"/>
      <c r="G20" s="20" t="inlineStr">
        <is>
          <t>Status</t>
        </is>
      </c>
    </row>
    <row r="21" ht="42" customHeight="1">
      <c r="A21" s="18" t="inlineStr">
        <is>
          <t>Unique column names across the three files: 20 — seven each, and only “Status” shared, by marine and rail. Append before renaming and that is exactly the table you get: twenty columns, two thirds of every one of them empty, and no error raised. The amber row is the second warning: the same contract name does not mean the same unit.</t>
        </is>
      </c>
    </row>
    <row r="22"/>
    <row r="23" ht="22" customHeight="1">
      <c r="A23" s="3" t="inlineStr">
        <is>
          <t>THE STATUS COLUMN, EXACTLY AS IT ARRIVES — 17 strings meaning 3 things</t>
        </is>
      </c>
    </row>
    <row r="24">
      <c r="B24" s="20" t="inlineStr">
        <is>
          <t>' DELIVERED'   ' Delivered'   ' in transit'</t>
        </is>
      </c>
      <c r="C24" s="42" t="n"/>
      <c r="D24" s="42" t="n"/>
      <c r="E24" s="42" t="n"/>
      <c r="F24" s="42" t="n"/>
      <c r="G24" s="14" t="n"/>
    </row>
    <row r="25">
      <c r="B25" s="20" t="inlineStr">
        <is>
          <t>'DELAYED'   'DELIVERED'   'DELIVERED '</t>
        </is>
      </c>
      <c r="C25" s="42" t="n"/>
      <c r="D25" s="42" t="n"/>
      <c r="E25" s="42" t="n"/>
      <c r="F25" s="42" t="n"/>
      <c r="G25" s="14" t="n"/>
    </row>
    <row r="26">
      <c r="B26" s="20" t="inlineStr">
        <is>
          <t>'Delivered'   'Delivered '   'IN TRANSIT'</t>
        </is>
      </c>
      <c r="C26" s="42" t="n"/>
      <c r="D26" s="42" t="n"/>
      <c r="E26" s="42" t="n"/>
      <c r="F26" s="42" t="n"/>
      <c r="G26" s="14" t="n"/>
    </row>
    <row r="27">
      <c r="B27" s="20" t="inlineStr">
        <is>
          <t>'IN TRANSIT '   'In transit'   'delayed'</t>
        </is>
      </c>
      <c r="C27" s="42" t="n"/>
      <c r="D27" s="42" t="n"/>
      <c r="E27" s="42" t="n"/>
      <c r="F27" s="42" t="n"/>
      <c r="G27" s="14" t="n"/>
    </row>
    <row r="28">
      <c r="B28" s="20" t="inlineStr">
        <is>
          <t>'delivered'   'delivered '   'in Transit'</t>
        </is>
      </c>
      <c r="C28" s="42" t="n"/>
      <c r="D28" s="42" t="n"/>
      <c r="E28" s="42" t="n"/>
      <c r="F28" s="42" t="n"/>
      <c r="G28" s="14" t="n"/>
    </row>
    <row r="29">
      <c r="B29" s="20" t="inlineStr">
        <is>
          <t>'in transit'   'in transit '</t>
        </is>
      </c>
      <c r="C29" s="42" t="n"/>
      <c r="D29" s="42" t="n"/>
      <c r="E29" s="42" t="n"/>
      <c r="F29" s="42" t="n"/>
      <c r="G29" s="14" t="n"/>
    </row>
    <row r="30" ht="30" customHeight="1">
      <c r="A30" s="18" t="inlineStr">
        <is>
          <t>17 distinct strings. 8 of them differ from another one only by a space, which is why Trim comes before everything that compares values. After Trim, Clean and Capitalize Each Word there are three.</t>
        </is>
      </c>
    </row>
    <row r="31"/>
    <row r="32" ht="22" customHeight="1">
      <c r="A32" s="3" t="inlineStr">
        <is>
          <t>THE 23 SPELLINGS, AND THE 14 CITIES THEY MEAN — DimCity's RawAliases, split into rows</t>
        </is>
      </c>
    </row>
    <row r="33" ht="32" customHeight="1">
      <c r="A33" s="5" t="inlineStr">
        <is>
          <t>#</t>
        </is>
      </c>
      <c r="B33" s="5" t="inlineStr">
        <is>
          <t>Raw spelling, as it appears in a source file</t>
        </is>
      </c>
      <c r="C33" s="5" t="inlineStr"/>
      <c r="D33" s="5" t="inlineStr">
        <is>
          <t>CityKey</t>
        </is>
      </c>
      <c r="E33" s="5" t="inlineStr">
        <is>
          <t>Conformed CityName</t>
        </is>
      </c>
      <c r="F33" s="5" t="inlineStr"/>
      <c r="G33" s="5" t="inlineStr"/>
    </row>
    <row r="34" ht="16" customHeight="1">
      <c r="A34" s="10" t="n">
        <v>1</v>
      </c>
      <c r="B34" s="20" t="inlineStr">
        <is>
          <t>Karachi</t>
        </is>
      </c>
      <c r="C34" s="14" t="n"/>
      <c r="D34" s="17" t="n">
        <v>1</v>
      </c>
      <c r="E34" s="27" t="inlineStr">
        <is>
          <t>Karachi</t>
        </is>
      </c>
      <c r="F34" s="42" t="n"/>
      <c r="G34" s="14" t="n"/>
    </row>
    <row r="35" ht="16" customHeight="1">
      <c r="A35" s="10" t="n">
        <v>2</v>
      </c>
      <c r="B35" s="20" t="inlineStr">
        <is>
          <t>Karachi Cantt</t>
        </is>
      </c>
      <c r="C35" s="14" t="n"/>
      <c r="D35" s="17" t="n">
        <v>1</v>
      </c>
      <c r="E35" s="27" t="inlineStr">
        <is>
          <t>Karachi</t>
        </is>
      </c>
      <c r="F35" s="42" t="n"/>
      <c r="G35" s="14" t="n"/>
    </row>
    <row r="36" ht="16" customHeight="1">
      <c r="A36" s="10" t="n">
        <v>3</v>
      </c>
      <c r="B36" s="20" t="inlineStr">
        <is>
          <t>Karachi Port</t>
        </is>
      </c>
      <c r="C36" s="14" t="n"/>
      <c r="D36" s="17" t="n">
        <v>1</v>
      </c>
      <c r="E36" s="27" t="inlineStr">
        <is>
          <t>Karachi</t>
        </is>
      </c>
      <c r="F36" s="42" t="n"/>
      <c r="G36" s="14" t="n"/>
    </row>
    <row r="37" ht="16" customHeight="1">
      <c r="A37" s="10" t="n">
        <v>4</v>
      </c>
      <c r="B37" s="20" t="inlineStr">
        <is>
          <t>Pipri Marshalling Yard</t>
        </is>
      </c>
      <c r="C37" s="14" t="n"/>
      <c r="D37" s="17" t="n">
        <v>1</v>
      </c>
      <c r="E37" s="27" t="inlineStr">
        <is>
          <t>Karachi</t>
        </is>
      </c>
      <c r="F37" s="42" t="n"/>
      <c r="G37" s="14" t="n"/>
    </row>
    <row r="38" ht="16" customHeight="1">
      <c r="A38" s="10" t="n">
        <v>5</v>
      </c>
      <c r="B38" s="20" t="inlineStr">
        <is>
          <t>Port Qasim</t>
        </is>
      </c>
      <c r="C38" s="14" t="n"/>
      <c r="D38" s="17" t="n">
        <v>1</v>
      </c>
      <c r="E38" s="27" t="inlineStr">
        <is>
          <t>Karachi</t>
        </is>
      </c>
      <c r="F38" s="42" t="n"/>
      <c r="G38" s="14" t="n"/>
    </row>
    <row r="39" ht="16" customHeight="1">
      <c r="A39" s="10" t="n">
        <v>6</v>
      </c>
      <c r="B39" s="20" t="inlineStr">
        <is>
          <t>Gwadar Port</t>
        </is>
      </c>
      <c r="C39" s="14" t="n"/>
      <c r="D39" s="17" t="n">
        <v>2</v>
      </c>
      <c r="E39" s="27" t="inlineStr">
        <is>
          <t>Gwadar</t>
        </is>
      </c>
      <c r="F39" s="42" t="n"/>
      <c r="G39" s="14" t="n"/>
    </row>
    <row r="40" ht="16" customHeight="1">
      <c r="A40" s="10" t="n">
        <v>7</v>
      </c>
      <c r="B40" s="20" t="inlineStr">
        <is>
          <t>Lahore</t>
        </is>
      </c>
      <c r="C40" s="14" t="n"/>
      <c r="D40" s="17" t="n">
        <v>3</v>
      </c>
      <c r="E40" s="27" t="inlineStr">
        <is>
          <t>Lahore</t>
        </is>
      </c>
      <c r="F40" s="42" t="n"/>
      <c r="G40" s="14" t="n"/>
    </row>
    <row r="41" ht="16" customHeight="1">
      <c r="A41" s="10" t="n">
        <v>8</v>
      </c>
      <c r="B41" s="20" t="inlineStr">
        <is>
          <t>Lahore Dry Port</t>
        </is>
      </c>
      <c r="C41" s="14" t="n"/>
      <c r="D41" s="17" t="n">
        <v>3</v>
      </c>
      <c r="E41" s="27" t="inlineStr">
        <is>
          <t>Lahore</t>
        </is>
      </c>
      <c r="F41" s="42" t="n"/>
      <c r="G41" s="14" t="n"/>
    </row>
    <row r="42" ht="16" customHeight="1">
      <c r="A42" s="10" t="n">
        <v>9</v>
      </c>
      <c r="B42" s="20" t="inlineStr">
        <is>
          <t>Multan</t>
        </is>
      </c>
      <c r="C42" s="14" t="n"/>
      <c r="D42" s="17" t="n">
        <v>4</v>
      </c>
      <c r="E42" s="27" t="inlineStr">
        <is>
          <t>Multan</t>
        </is>
      </c>
      <c r="F42" s="42" t="n"/>
      <c r="G42" s="14" t="n"/>
    </row>
    <row r="43" ht="16" customHeight="1">
      <c r="A43" s="10" t="n">
        <v>10</v>
      </c>
      <c r="B43" s="20" t="inlineStr">
        <is>
          <t>Islamabad</t>
        </is>
      </c>
      <c r="C43" s="14" t="n"/>
      <c r="D43" s="17" t="n">
        <v>5</v>
      </c>
      <c r="E43" s="27" t="inlineStr">
        <is>
          <t>Islamabad</t>
        </is>
      </c>
      <c r="F43" s="42" t="n"/>
      <c r="G43" s="14" t="n"/>
    </row>
    <row r="44" ht="16" customHeight="1">
      <c r="A44" s="10" t="n">
        <v>11</v>
      </c>
      <c r="B44" s="20" t="inlineStr">
        <is>
          <t>Islamabad Dry Port</t>
        </is>
      </c>
      <c r="C44" s="14" t="n"/>
      <c r="D44" s="17" t="n">
        <v>5</v>
      </c>
      <c r="E44" s="27" t="inlineStr">
        <is>
          <t>Islamabad</t>
        </is>
      </c>
      <c r="F44" s="42" t="n"/>
      <c r="G44" s="14" t="n"/>
    </row>
    <row r="45" ht="16" customHeight="1">
      <c r="A45" s="10" t="n">
        <v>12</v>
      </c>
      <c r="B45" s="20" t="inlineStr">
        <is>
          <t>Quetta</t>
        </is>
      </c>
      <c r="C45" s="14" t="n"/>
      <c r="D45" s="17" t="n">
        <v>6</v>
      </c>
      <c r="E45" s="27" t="inlineStr">
        <is>
          <t>Quetta</t>
        </is>
      </c>
      <c r="F45" s="42" t="n"/>
      <c r="G45" s="14" t="n"/>
    </row>
    <row r="46" ht="16" customHeight="1">
      <c r="A46" s="10" t="n">
        <v>13</v>
      </c>
      <c r="B46" s="20" t="inlineStr">
        <is>
          <t>Faisalabad</t>
        </is>
      </c>
      <c r="C46" s="14" t="n"/>
      <c r="D46" s="17" t="n">
        <v>7</v>
      </c>
      <c r="E46" s="27" t="inlineStr">
        <is>
          <t>Faisalabad</t>
        </is>
      </c>
      <c r="F46" s="42" t="n"/>
      <c r="G46" s="14" t="n"/>
    </row>
    <row r="47" ht="16" customHeight="1">
      <c r="A47" s="10" t="n">
        <v>14</v>
      </c>
      <c r="B47" s="20" t="inlineStr">
        <is>
          <t>Faisalabad Dry Port</t>
        </is>
      </c>
      <c r="C47" s="14" t="n"/>
      <c r="D47" s="17" t="n">
        <v>7</v>
      </c>
      <c r="E47" s="27" t="inlineStr">
        <is>
          <t>Faisalabad</t>
        </is>
      </c>
      <c r="F47" s="42" t="n"/>
      <c r="G47" s="14" t="n"/>
    </row>
    <row r="48" ht="16" customHeight="1">
      <c r="A48" s="10" t="n">
        <v>15</v>
      </c>
      <c r="B48" s="20" t="inlineStr">
        <is>
          <t>Rawalpindi</t>
        </is>
      </c>
      <c r="C48" s="14" t="n"/>
      <c r="D48" s="17" t="n">
        <v>8</v>
      </c>
      <c r="E48" s="27" t="inlineStr">
        <is>
          <t>Rawalpindi</t>
        </is>
      </c>
      <c r="F48" s="42" t="n"/>
      <c r="G48" s="14" t="n"/>
    </row>
    <row r="49" ht="16" customHeight="1">
      <c r="A49" s="10" t="n">
        <v>16</v>
      </c>
      <c r="B49" s="20" t="inlineStr">
        <is>
          <t>Sialkot</t>
        </is>
      </c>
      <c r="C49" s="14" t="n"/>
      <c r="D49" s="17" t="n">
        <v>9</v>
      </c>
      <c r="E49" s="27" t="inlineStr">
        <is>
          <t>Sialkot</t>
        </is>
      </c>
      <c r="F49" s="42" t="n"/>
      <c r="G49" s="14" t="n"/>
    </row>
    <row r="50" ht="16" customHeight="1">
      <c r="A50" s="10" t="n">
        <v>17</v>
      </c>
      <c r="B50" s="20" t="inlineStr">
        <is>
          <t>Sialkot Dry Port</t>
        </is>
      </c>
      <c r="C50" s="14" t="n"/>
      <c r="D50" s="17" t="n">
        <v>9</v>
      </c>
      <c r="E50" s="27" t="inlineStr">
        <is>
          <t>Sialkot</t>
        </is>
      </c>
      <c r="F50" s="42" t="n"/>
      <c r="G50" s="14" t="n"/>
    </row>
    <row r="51" ht="16" customHeight="1">
      <c r="A51" s="10" t="n">
        <v>18</v>
      </c>
      <c r="B51" s="20" t="inlineStr">
        <is>
          <t>Peshawar</t>
        </is>
      </c>
      <c r="C51" s="14" t="n"/>
      <c r="D51" s="17" t="n">
        <v>10</v>
      </c>
      <c r="E51" s="27" t="inlineStr">
        <is>
          <t>Peshawar</t>
        </is>
      </c>
      <c r="F51" s="42" t="n"/>
      <c r="G51" s="14" t="n"/>
    </row>
    <row r="52" ht="16" customHeight="1">
      <c r="A52" s="10" t="n">
        <v>19</v>
      </c>
      <c r="B52" s="20" t="inlineStr">
        <is>
          <t>Peshawar Cantt</t>
        </is>
      </c>
      <c r="C52" s="14" t="n"/>
      <c r="D52" s="17" t="n">
        <v>10</v>
      </c>
      <c r="E52" s="27" t="inlineStr">
        <is>
          <t>Peshawar</t>
        </is>
      </c>
      <c r="F52" s="42" t="n"/>
      <c r="G52" s="14" t="n"/>
    </row>
    <row r="53" ht="16" customHeight="1">
      <c r="A53" s="10" t="n">
        <v>20</v>
      </c>
      <c r="B53" s="20" t="inlineStr">
        <is>
          <t>Hyderabad</t>
        </is>
      </c>
      <c r="C53" s="14" t="n"/>
      <c r="D53" s="17" t="n">
        <v>11</v>
      </c>
      <c r="E53" s="27" t="inlineStr">
        <is>
          <t>Hyderabad</t>
        </is>
      </c>
      <c r="F53" s="42" t="n"/>
      <c r="G53" s="14" t="n"/>
    </row>
    <row r="54" ht="16" customHeight="1">
      <c r="A54" s="10" t="n">
        <v>21</v>
      </c>
      <c r="B54" s="20" t="inlineStr">
        <is>
          <t>Sukkur</t>
        </is>
      </c>
      <c r="C54" s="14" t="n"/>
      <c r="D54" s="17" t="n">
        <v>12</v>
      </c>
      <c r="E54" s="27" t="inlineStr">
        <is>
          <t>Sukkur</t>
        </is>
      </c>
      <c r="F54" s="42" t="n"/>
      <c r="G54" s="14" t="n"/>
    </row>
    <row r="55" ht="16" customHeight="1">
      <c r="A55" s="10" t="n">
        <v>22</v>
      </c>
      <c r="B55" s="20" t="inlineStr">
        <is>
          <t>Gujranwala</t>
        </is>
      </c>
      <c r="C55" s="14" t="n"/>
      <c r="D55" s="17" t="n">
        <v>13</v>
      </c>
      <c r="E55" s="27" t="inlineStr">
        <is>
          <t>Gujranwala</t>
        </is>
      </c>
      <c r="F55" s="42" t="n"/>
      <c r="G55" s="14" t="n"/>
    </row>
    <row r="56" ht="16" customHeight="1">
      <c r="A56" s="10" t="n">
        <v>23</v>
      </c>
      <c r="B56" s="20" t="inlineStr">
        <is>
          <t>Abbottabad</t>
        </is>
      </c>
      <c r="C56" s="14" t="n"/>
      <c r="D56" s="17" t="n">
        <v>14</v>
      </c>
      <c r="E56" s="27" t="inlineStr">
        <is>
          <t>Abbottabad</t>
        </is>
      </c>
      <c r="F56" s="42" t="n"/>
      <c r="G56" s="14" t="n"/>
    </row>
    <row r="57" ht="32" customHeight="1">
      <c r="A57" s="18" t="inlineStr">
        <is>
          <t>Twenty-three spellings, fourteen cities. Five of them are Karachi — and no rule you can write over the characters will tell you that Pipri Marshalling Yard is one of them. That is business knowledge, so conformance is a lookup, not a split.</t>
        </is>
      </c>
    </row>
  </sheetData>
  <mergeCells count="76">
    <mergeCell ref="A32:G32"/>
    <mergeCell ref="B47:C47"/>
    <mergeCell ref="B16:C16"/>
    <mergeCell ref="B54:C54"/>
    <mergeCell ref="A4:G4"/>
    <mergeCell ref="B46:C46"/>
    <mergeCell ref="E34:G34"/>
    <mergeCell ref="E40:G40"/>
    <mergeCell ref="E14:F14"/>
    <mergeCell ref="B56:C56"/>
    <mergeCell ref="E17:F17"/>
    <mergeCell ref="B18:C18"/>
    <mergeCell ref="B29:G29"/>
    <mergeCell ref="A10:G10"/>
    <mergeCell ref="B43:C43"/>
    <mergeCell ref="B39:C39"/>
    <mergeCell ref="E46:G46"/>
    <mergeCell ref="B52:C52"/>
    <mergeCell ref="E20:F20"/>
    <mergeCell ref="B28:G28"/>
    <mergeCell ref="E36:G36"/>
    <mergeCell ref="B48:C48"/>
    <mergeCell ref="E49:G49"/>
    <mergeCell ref="E45:G45"/>
    <mergeCell ref="E19:F19"/>
    <mergeCell ref="B42:C42"/>
    <mergeCell ref="A57:G57"/>
    <mergeCell ref="A30:G30"/>
    <mergeCell ref="B14:C14"/>
    <mergeCell ref="B17:C17"/>
    <mergeCell ref="B53:C53"/>
    <mergeCell ref="E54:G54"/>
    <mergeCell ref="B24:G24"/>
    <mergeCell ref="B38:C38"/>
    <mergeCell ref="B44:C44"/>
    <mergeCell ref="A1:G1"/>
    <mergeCell ref="E41:G41"/>
    <mergeCell ref="E15:F15"/>
    <mergeCell ref="B19:C19"/>
    <mergeCell ref="B34:C34"/>
    <mergeCell ref="B37:C37"/>
    <mergeCell ref="E37:G37"/>
    <mergeCell ref="E47:G47"/>
    <mergeCell ref="E53:G53"/>
    <mergeCell ref="E50:G50"/>
    <mergeCell ref="B26:G26"/>
    <mergeCell ref="E56:G56"/>
    <mergeCell ref="B40:C40"/>
    <mergeCell ref="E43:G43"/>
    <mergeCell ref="B49:C49"/>
    <mergeCell ref="B25:G25"/>
    <mergeCell ref="B55:C55"/>
    <mergeCell ref="E55:G55"/>
    <mergeCell ref="E42:G42"/>
    <mergeCell ref="B15:C15"/>
    <mergeCell ref="E16:F16"/>
    <mergeCell ref="E52:G52"/>
    <mergeCell ref="B51:C51"/>
    <mergeCell ref="A21:G21"/>
    <mergeCell ref="B20:C20"/>
    <mergeCell ref="E39:G39"/>
    <mergeCell ref="A12:G12"/>
    <mergeCell ref="B27:G27"/>
    <mergeCell ref="B45:C45"/>
    <mergeCell ref="E48:G48"/>
    <mergeCell ref="B36:C36"/>
    <mergeCell ref="A2:G2"/>
    <mergeCell ref="E35:G35"/>
    <mergeCell ref="B50:C50"/>
    <mergeCell ref="E44:G44"/>
    <mergeCell ref="B41:C41"/>
    <mergeCell ref="E18:F18"/>
    <mergeCell ref="B35:C35"/>
    <mergeCell ref="E51:G51"/>
    <mergeCell ref="E38:G38"/>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5" customWidth="1" min="1" max="1"/>
    <col width="40" customWidth="1" min="2" max="2"/>
    <col width="20" customWidth="1" min="3" max="3"/>
    <col width="15" customWidth="1" min="4" max="4"/>
    <col width="9" customWidth="1" min="5" max="5"/>
    <col width="11" customWidth="1" min="6" max="6"/>
    <col width="46" customWidth="1" min="7" max="7"/>
  </cols>
  <sheetData>
    <row r="1" ht="30" customHeight="1">
      <c r="A1" s="1" t="inlineStr">
        <is>
          <t>T1 · Defect Census — 12 marks</t>
        </is>
      </c>
    </row>
    <row r="2" ht="30" customHeight="1">
      <c r="A2" s="2" t="inlineStr">
        <is>
          <t>Ten defects, and for each: which of the four transform classes fixes it, which step clears it, and whether ignoring it fails loudly or quietly. Count them before you fix them.</t>
        </is>
      </c>
    </row>
    <row r="3"/>
    <row r="4" ht="70" customHeight="1">
      <c r="A4" s="4" t="inlineStr">
        <is>
          <t>A pipeline is designed against a census, not against the first thing you noticed. Every row below is checkable in data/source. The four transform classes are Structural, String, Type &amp; Unit and Conform — in that order, because each one needs the one before it. One row is not a defect at all; find it and say so.
Loud = the refresh errors, or a step fails outright, and somebody is told. Quiet = the load succeeds and a published number is wrong.</t>
        </is>
      </c>
    </row>
    <row r="5"/>
    <row r="6" ht="32" customHeight="1">
      <c r="A6" s="5" t="inlineStr">
        <is>
          <t>#</t>
        </is>
      </c>
      <c r="B6" s="5" t="inlineStr">
        <is>
          <t>Defect</t>
        </is>
      </c>
      <c r="C6" s="5" t="inlineStr">
        <is>
          <t>Where it lives</t>
        </is>
      </c>
      <c r="D6" s="5" t="inlineStr">
        <is>
          <t>Transform class</t>
        </is>
      </c>
      <c r="E6" s="5" t="inlineStr">
        <is>
          <t>Step</t>
        </is>
      </c>
      <c r="F6" s="5" t="inlineStr">
        <is>
          <t>Loud or quiet</t>
        </is>
      </c>
      <c r="G6" s="5" t="inlineStr">
        <is>
          <t>What it breaks if you ignore it</t>
        </is>
      </c>
    </row>
    <row r="7" ht="30" customHeight="1">
      <c r="A7" s="19" t="n">
        <v>1</v>
      </c>
      <c r="B7" s="16" t="inlineStr">
        <is>
          <t>Three different header conventions</t>
        </is>
      </c>
      <c r="C7" s="13" t="inlineStr">
        <is>
          <t>all three files</t>
        </is>
      </c>
      <c r="D7" s="29" t="inlineStr">
        <is>
          <t>Structural</t>
        </is>
      </c>
      <c r="E7" s="29" t="inlineStr">
        <is>
          <t>Rename every column to the common contract</t>
        </is>
      </c>
      <c r="F7" s="29" t="inlineStr">
        <is>
          <t>Quiet</t>
        </is>
      </c>
      <c r="G7" s="30" t="inlineStr">
        <is>
          <t>The append cannot merge columns that are named differently, so shipments land in side-by-side columns and the fact table carries 20 columns instead of 7.</t>
        </is>
      </c>
    </row>
    <row r="8" ht="30" customHeight="1">
      <c r="A8" s="19" t="n">
        <v>2</v>
      </c>
      <c r="B8" s="16" t="inlineStr">
        <is>
          <t>Two title rows above the real header</t>
        </is>
      </c>
      <c r="C8" s="13" t="inlineStr">
        <is>
          <t>rail workbook</t>
        </is>
      </c>
      <c r="D8" s="29" t="inlineStr">
        <is>
          <t>Structural</t>
        </is>
      </c>
      <c r="E8" s="29" t="inlineStr">
        <is>
          <t>Promote headers; drop junk rows and columns</t>
        </is>
      </c>
      <c r="F8" s="29" t="inlineStr">
        <is>
          <t>Loud</t>
        </is>
      </c>
      <c r="G8" s="30" t="inlineStr">
        <is>
          <t>The next step cannot find its columns: the title rows are read as headers (or the real header as data) and the refresh errors outright.</t>
        </is>
      </c>
    </row>
    <row r="9" ht="30" customHeight="1">
      <c r="A9" s="19" t="n">
        <v>3</v>
      </c>
      <c r="B9" s="16" t="inlineStr">
        <is>
          <t>Weight recorded in tons, not kilograms</t>
        </is>
      </c>
      <c r="C9" s="13" t="inlineStr">
        <is>
          <t>rail workbook</t>
        </is>
      </c>
      <c r="D9" s="29" t="inlineStr">
        <is>
          <t>Type &amp; Unit</t>
        </is>
      </c>
      <c r="E9" s="29" t="inlineStr">
        <is>
          <t>Convert rail tons to kilograms; set types</t>
        </is>
      </c>
      <c r="F9" s="29" t="inlineStr">
        <is>
          <t>Quiet</t>
        </is>
      </c>
      <c r="G9" s="30" t="inlineStr">
        <is>
          <t>Rail weight is summed as kilograms: the total reads 283,695.25 kg instead of 578,650 kg, with no error anywhere.</t>
        </is>
      </c>
    </row>
    <row r="10" ht="30" customHeight="1">
      <c r="A10" s="19" t="n">
        <v>4</v>
      </c>
      <c r="B10" s="16" t="inlineStr">
        <is>
          <t>Three date formats, one of them ambiguous</t>
        </is>
      </c>
      <c r="C10" s="13" t="inlineStr">
        <is>
          <t>all three files</t>
        </is>
      </c>
      <c r="D10" s="29" t="inlineStr">
        <is>
          <t>Type &amp; Unit</t>
        </is>
      </c>
      <c r="E10" s="29" t="inlineStr">
        <is>
          <t>Parse dates with an explicit locale</t>
        </is>
      </c>
      <c r="F10" s="29" t="inlineStr">
        <is>
          <t>Both</t>
        </is>
      </c>
      <c r="G10" s="30" t="inlineStr">
        <is>
          <t>One row errors (13/02/2026 has no month 13) while ten rows sit quietly in the wrong month — every monthly report is wrong while both reconciliation totals pass.</t>
        </is>
      </c>
    </row>
    <row r="11" ht="30" customHeight="1">
      <c r="A11" s="19" t="n">
        <v>5</v>
      </c>
      <c r="B11" s="16" t="inlineStr">
        <is>
          <t>Leading and trailing spaces</t>
        </is>
      </c>
      <c r="C11" s="13" t="inlineStr">
        <is>
          <t>8 of 35 status values</t>
        </is>
      </c>
      <c r="D11" s="29" t="inlineStr">
        <is>
          <t>String</t>
        </is>
      </c>
      <c r="E11" s="29" t="inlineStr">
        <is>
          <t>Trim and clean all text columns</t>
        </is>
      </c>
      <c r="F11" s="29" t="inlineStr">
        <is>
          <t>Quiet</t>
        </is>
      </c>
      <c r="G11" s="30" t="inlineStr">
        <is>
          <t>Trailing spaces make identical values compare as different: duplicates survive dedup and one status splits into several slicer values.</t>
        </is>
      </c>
    </row>
    <row r="12" ht="30" customHeight="1">
      <c r="A12" s="19" t="n">
        <v>6</v>
      </c>
      <c r="B12" s="16" t="inlineStr">
        <is>
          <t>Seventeen casing variants of three states</t>
        </is>
      </c>
      <c r="C12" s="13" t="inlineStr">
        <is>
          <t>all three files</t>
        </is>
      </c>
      <c r="D12" s="29" t="inlineStr">
        <is>
          <t>String</t>
        </is>
      </c>
      <c r="E12" s="29" t="inlineStr">
        <is>
          <t>Normalise status casing to Proper Case</t>
        </is>
      </c>
      <c r="F12" s="29" t="inlineStr">
        <is>
          <t>Quiet</t>
        </is>
      </c>
      <c r="G12" s="30" t="inlineStr">
        <is>
          <t>One status becomes seventeen slicer values, so every status breakdown is wrong while the totals pass to the rupee.</t>
        </is>
      </c>
    </row>
    <row r="13" ht="30" customHeight="1">
      <c r="A13" s="19" t="n">
        <v>7</v>
      </c>
      <c r="B13" s="16" t="inlineStr">
        <is>
          <t>Twenty-three spellings of fourteen cities</t>
        </is>
      </c>
      <c r="C13" s="13" t="inlineStr">
        <is>
          <t>all three files</t>
        </is>
      </c>
      <c r="D13" s="29" t="inlineStr">
        <is>
          <t>Conform</t>
        </is>
      </c>
      <c r="E13" s="29" t="inlineStr">
        <is>
          <t>Conform names, look up keys, unmatched to -1</t>
        </is>
      </c>
      <c r="F13" s="29" t="inlineStr">
        <is>
          <t>Quiet</t>
        </is>
      </c>
      <c r="G13" s="30" t="inlineStr">
        <is>
          <t>Twenty-three spellings of fourteen cities never merge, so city and route breakdowns split and key joins fail.</t>
        </is>
      </c>
    </row>
    <row r="14" ht="30" customHeight="1">
      <c r="A14" s="19" t="n">
        <v>8</v>
      </c>
      <c r="B14" s="16" t="inlineStr">
        <is>
          <t>One blank row and one TOTAL footer row</t>
        </is>
      </c>
      <c r="C14" s="13" t="inlineStr">
        <is>
          <t>road file</t>
        </is>
      </c>
      <c r="D14" s="29" t="inlineStr">
        <is>
          <t>Structural</t>
        </is>
      </c>
      <c r="E14" s="29" t="inlineStr">
        <is>
          <t>Promote headers; drop junk rows and columns</t>
        </is>
      </c>
      <c r="F14" s="29" t="inlineStr">
        <is>
          <t>Quiet</t>
        </is>
      </c>
      <c r="G14" s="30" t="inlineStr">
        <is>
          <t>The blank line loads as a null row and the TOTAL footer (83,000 kg) loads as a shipment, inflating every total by a whole road file.</t>
        </is>
      </c>
    </row>
    <row r="15" ht="30" customHeight="1">
      <c r="A15" s="19" t="n">
        <v>9</v>
      </c>
      <c r="B15" s="16" t="inlineStr">
        <is>
          <t>One consignment recorded twice</t>
        </is>
      </c>
      <c r="C15" s="13" t="inlineStr">
        <is>
          <t>road file · rd-505</t>
        </is>
      </c>
      <c r="D15" s="29" t="inlineStr">
        <is>
          <t>Structural</t>
        </is>
      </c>
      <c r="E15" s="29" t="inlineStr">
        <is>
          <t>Remove duplicates, now that rows compare</t>
        </is>
      </c>
      <c r="F15" s="29" t="inlineStr">
        <is>
          <t>Quiet</t>
        </is>
      </c>
      <c r="G15" s="30" t="inlineStr">
        <is>
          <t>RD-505 counts twice: +6,100 kg and +PKR 47,000 on every total.</t>
        </is>
      </c>
    </row>
    <row r="16" ht="30" customHeight="1">
      <c r="A16" s="19" t="n">
        <v>10</v>
      </c>
      <c r="B16" s="16" t="inlineStr">
        <is>
          <t>No transport mode column anywhere</t>
        </is>
      </c>
      <c r="C16" s="13" t="inlineStr">
        <is>
          <t>all three files</t>
        </is>
      </c>
      <c r="D16" s="29" t="inlineStr">
        <is>
          <t>Structural</t>
        </is>
      </c>
      <c r="E16" s="29" t="inlineStr">
        <is>
          <t>Add ModeKey — assigned by source, not read</t>
        </is>
      </c>
      <c r="F16" s="29" t="inlineStr">
        <is>
          <t>Neither</t>
        </is>
      </c>
      <c r="G16" s="30" t="inlineStr">
        <is>
          <t>Nothing in the load breaks — but a fact row with no mode cannot be sliced by mode, so the column must be derived from the source, not looked up in the file.</t>
        </is>
      </c>
    </row>
    <row r="17"/>
    <row r="18" ht="22" customHeight="1">
      <c r="A18" s="3" t="inlineStr">
        <is>
          <t>Self-check — three counts, and the first one is the finding</t>
        </is>
      </c>
    </row>
    <row r="19">
      <c r="B19" s="27" t="inlineStr">
        <is>
          <t>Defects that fail LOUDLY</t>
        </is>
      </c>
      <c r="C19" s="31">
        <f>COUNTIF(F7:F16,"Loud")</f>
        <v/>
      </c>
      <c r="D19" s="19">
        <f>IF(COUNTA(F7:F16)=0,"",IF(COUNTIF(F7:F16,"Loud")=1,"✔ pass","✘ fix"))</f>
        <v/>
      </c>
      <c r="E19" s="8" t="inlineStr">
        <is>
          <t>only the rail title rows — the next step cannot find its columns</t>
        </is>
      </c>
      <c r="F19" s="42" t="n"/>
      <c r="G19" s="14" t="n"/>
    </row>
    <row r="20">
      <c r="B20" s="27" t="inlineStr">
        <is>
          <t>Defects that fail QUIETLY</t>
        </is>
      </c>
      <c r="C20" s="31">
        <f>COUNTIF(F7:F16,"Quiet")</f>
        <v/>
      </c>
      <c r="D20" s="19">
        <f>IF(COUNTA(F7:F16)=0,"",IF(COUNTIF(F7:F16,"Quiet")=7,"✔ pass","✘ fix"))</f>
        <v/>
      </c>
      <c r="E20" s="8" t="inlineStr">
        <is>
          <t>the load succeeds and a number you publish is wrong</t>
        </is>
      </c>
      <c r="F20" s="42" t="n"/>
      <c r="G20" s="14" t="n"/>
    </row>
    <row r="21">
      <c r="B21" s="27" t="inlineStr">
        <is>
          <t>Defects that do BOTH</t>
        </is>
      </c>
      <c r="C21" s="31">
        <f>COUNTIF(F7:F16,"Both")</f>
        <v/>
      </c>
      <c r="D21" s="19">
        <f>IF(COUNTA(F7:F16)=0,"",IF(COUNTIF(F7:F16,"Both")=1,"✔ pass","✘ fix"))</f>
        <v/>
      </c>
      <c r="E21" s="8" t="inlineStr">
        <is>
          <t>the date locale — 1 row errors, 10 sit quietly in the wrong month</t>
        </is>
      </c>
      <c r="F21" s="42" t="n"/>
      <c r="G21" s="14" t="n"/>
    </row>
    <row r="22" ht="42" customHeight="1">
      <c r="A22" s="18" t="inlineStr">
        <is>
          <t>1 of the ten fails loudly. That is the finding, and it is the reason slide 20 says most of the engineering in a good pipeline exists to turn quiet failures into loud ones. If your Loud count is 5 or 6 you are marking “I would notice that” as loud — the test is whether the pipeline tells somebody, not whether a careful person would spot it.</t>
        </is>
      </c>
    </row>
    <row r="23"/>
    <row r="24" ht="22" customHeight="1">
      <c r="A24" s="3" t="inlineStr">
        <is>
          <t>Two sentences, and they carry 4 of the 12 marks</t>
        </is>
      </c>
    </row>
    <row r="25">
      <c r="B25" s="32" t="inlineStr">
        <is>
          <t>One of the ten rows is not a defect. Which, and why is it on the list at all?</t>
        </is>
      </c>
      <c r="C25" s="25" t="n"/>
      <c r="D25" s="42" t="n"/>
      <c r="E25" s="42" t="n"/>
      <c r="F25" s="42" t="n"/>
      <c r="G25" s="14" t="n"/>
    </row>
    <row r="26" ht="28" customHeight="1">
      <c r="B26" s="33" t="inlineStr">
        <is>
          <t>Row 10 — 'No transport mode column anywhere' — is not a defect at all. A defect is corrupt data in a file; the three sources never claimed to carry a mode column, so there is nothing corrupt to fix — this is a design gap in the source schema, not bad data. It is on the list because it looks exactly like missing data, and every student tries to look the mode up before realising it cannot be read from anywhere: ModeKey is assigned by source during transform (marine = 1, rail = 2, road = 3), not read from a column. The lesson is that some contract columns are derived, not read — and a census that only lists corruption would miss the column the pipeline still has to create.</t>
        </is>
      </c>
      <c r="C26" s="43" t="n"/>
      <c r="D26" s="43" t="n"/>
      <c r="E26" s="43" t="n"/>
      <c r="F26" s="43" t="n"/>
      <c r="G26" s="44" t="n"/>
    </row>
    <row r="27">
      <c r="B27" s="45" t="n"/>
      <c r="G27" s="46" t="n"/>
    </row>
    <row r="28">
      <c r="B28" s="47" t="n"/>
      <c r="C28" s="48" t="n"/>
      <c r="D28" s="48" t="n"/>
      <c r="E28" s="48" t="n"/>
      <c r="F28" s="48" t="n"/>
      <c r="G28" s="49" t="n"/>
    </row>
    <row r="29">
      <c r="B29" s="32" t="inlineStr">
        <is>
          <t>Defects 8 and 9 are the two the room will argue about. Say why both are judgements rather than errors.</t>
        </is>
      </c>
      <c r="C29" s="25" t="n"/>
      <c r="D29" s="42" t="n"/>
      <c r="E29" s="42" t="n"/>
      <c r="F29" s="42" t="n"/>
      <c r="G29" s="14" t="n"/>
    </row>
    <row r="30" ht="28" customHeight="1">
      <c r="B30" s="33" t="inlineStr">
        <is>
          <t>Defects 8 and 9 are judgements rather than errors because neither row is corrupt on its own terms. The blank line and the TOTAL footer are legitimate artefacts of a human-readable export: the blank line is spacing and the footer is the file's own summary, put there for a person reading the file, not for a loader. Dropping them is therefore a scope decision — they are not shipments — not the repair of a broken value, and it has to be stated as such, because a different pipeline (one that audits file totals) would want the footer kept. The repeated RD-505 is a judgement for the opposite reason: from the row alone, a true duplicate and a genuine second identical shipment are indistinguishable — same ID, same date, same cities, same weight, same cost. The pipeline treats same-ShipmentID as one shipment by contract, and that rule must be stated, not assumed: if the business ever genuinely ships the same consignment twice under one ID, this rule would delete a real shipment.</t>
        </is>
      </c>
      <c r="C30" s="43" t="n"/>
      <c r="D30" s="43" t="n"/>
      <c r="E30" s="43" t="n"/>
      <c r="F30" s="43" t="n"/>
      <c r="G30" s="44" t="n"/>
    </row>
    <row r="31">
      <c r="B31" s="45" t="n"/>
      <c r="G31" s="46" t="n"/>
    </row>
    <row r="32">
      <c r="B32" s="45" t="n"/>
      <c r="G32" s="46" t="n"/>
    </row>
    <row r="33">
      <c r="B33" s="47" t="n"/>
      <c r="C33" s="48" t="n"/>
      <c r="D33" s="48" t="n"/>
      <c r="E33" s="48" t="n"/>
      <c r="F33" s="48" t="n"/>
      <c r="G33" s="49" t="n"/>
    </row>
  </sheetData>
  <mergeCells count="13">
    <mergeCell ref="B30:G33"/>
    <mergeCell ref="C29:G29"/>
    <mergeCell ref="A1:G1"/>
    <mergeCell ref="E19:G19"/>
    <mergeCell ref="A18:G18"/>
    <mergeCell ref="A22:G22"/>
    <mergeCell ref="A4:G4"/>
    <mergeCell ref="C25:G25"/>
    <mergeCell ref="A24:G24"/>
    <mergeCell ref="A2:G2"/>
    <mergeCell ref="E21:G21"/>
    <mergeCell ref="B26:G28"/>
    <mergeCell ref="E20:G20"/>
  </mergeCells>
  <dataValidations count="2">
    <dataValidation sqref="D7:D16" showDropDown="0" showInputMessage="0" showErrorMessage="0" allowBlank="0" type="list">
      <formula1>"Structural,String,Type &amp; Unit,Conform,Derived"</formula1>
    </dataValidation>
    <dataValidation sqref="F7:F16" showDropDown="0" showInputMessage="0" showErrorMessage="0" allowBlank="0" type="list">
      <formula1>"Loud,Quiet,Both,n/a"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5" customWidth="1" min="1" max="1"/>
    <col width="62" customWidth="1" min="2" max="2"/>
    <col width="14" customWidth="1" min="3" max="3"/>
    <col width="62" customWidth="1" min="4" max="4"/>
    <col width="10" customWidth="1" min="5" max="5"/>
    <col width="10" customWidth="1" min="6" max="6"/>
    <col width="10" customWidth="1" min="7" max="7"/>
  </cols>
  <sheetData>
    <row r="1" ht="30" customHeight="1">
      <c r="A1" s="1" t="inlineStr">
        <is>
          <t>T2 · Stage Ownership — 12 marks</t>
        </is>
      </c>
    </row>
    <row r="2" ht="30" customHeight="1">
      <c r="A2" s="2" t="inlineStr">
        <is>
          <t>Twelve activities. For each: Extract, Transform, Load — or Violation, meaning some stage is doing another stage's job, or a job no stage may do. One mark for the verdict, one for the reason.</t>
        </is>
      </c>
    </row>
    <row r="3"/>
    <row r="4" ht="76" customHeight="1">
      <c r="A4" s="4" t="inlineStr">
        <is>
          <t>The value of the three-word name is that it divides the blame: when a pipeline breaks you should be able to say which of the three stages broke. A stage doing another stage's job makes that impossible, which is why the three “must nots” of slide 13 are the part that gets skipped — extract must not clean, transform must not write to the source, load must not decide anything.
Four of the twelve are violations. Finding them is the task; the other eight are here so they cannot be found by elimination.</t>
        </is>
      </c>
    </row>
    <row r="5"/>
    <row r="6" ht="32" customHeight="1">
      <c r="A6" s="5" t="inlineStr">
        <is>
          <t>#</t>
        </is>
      </c>
      <c r="B6" s="5" t="inlineStr">
        <is>
          <t>Activity</t>
        </is>
      </c>
      <c r="C6" s="5" t="inlineStr">
        <is>
          <t>Your verdict</t>
        </is>
      </c>
      <c r="D6" s="5" t="inlineStr">
        <is>
          <t>Why — and if it is a violation, which rule it breaks</t>
        </is>
      </c>
      <c r="E6" s="5" t="inlineStr"/>
      <c r="F6" s="5" t="inlineStr"/>
      <c r="G6" s="5" t="inlineStr"/>
    </row>
    <row r="7" ht="40" customHeight="1">
      <c r="A7" s="19" t="n">
        <v>1</v>
      </c>
      <c r="B7" s="16" t="inlineStr">
        <is>
          <t>Open a connection to the rail workbook and read the named sheet</t>
        </is>
      </c>
      <c r="C7" s="29" t="inlineStr">
        <is>
          <t>Extract</t>
        </is>
      </c>
      <c r="D7" s="33" t="inlineStr">
        <is>
          <t>Reading a source file unchanged is extract's own job; nothing is fixed or reshaped yet.</t>
        </is>
      </c>
    </row>
    <row r="8" ht="40" customHeight="1">
      <c r="A8" s="19" t="n">
        <v>2</v>
      </c>
      <c r="B8" s="16" t="inlineStr">
        <is>
          <t>Strip the trailing space off a status value while reading the file in</t>
        </is>
      </c>
      <c r="C8" s="29" t="inlineStr">
        <is>
          <t>Violation</t>
        </is>
      </c>
      <c r="D8" s="33" t="inlineStr">
        <is>
          <t>Extract must not clean: stripping a space is transform's work, and doing it while reading destroys the faithful, untouched copy the run log is supposed to prove the source against.</t>
        </is>
      </c>
    </row>
    <row r="9" ht="40" customHeight="1">
      <c r="A9" s="19" t="n">
        <v>3</v>
      </c>
      <c r="B9" s="16" t="inlineStr">
        <is>
          <t>Write the row count of each file into a run log</t>
        </is>
      </c>
      <c r="C9" s="29" t="inlineStr">
        <is>
          <t>Extract</t>
        </is>
      </c>
      <c r="D9" s="33" t="inlineStr">
        <is>
          <t>The extract log is extract's own audit: it records source, time and row count. It fixes nothing, so it breaks no rule.</t>
        </is>
      </c>
    </row>
    <row r="10" ht="40" customHeight="1">
      <c r="A10" s="19" t="n">
        <v>4</v>
      </c>
      <c r="B10" s="16" t="inlineStr">
        <is>
          <t>Promote row 3 of the rail sheet to be the header row</t>
        </is>
      </c>
      <c r="C10" s="29" t="inlineStr">
        <is>
          <t>Transform</t>
        </is>
      </c>
      <c r="D10" s="33" t="inlineStr">
        <is>
          <t>Shaping the table — promoting a header row — is transform work.</t>
        </is>
      </c>
    </row>
    <row r="11" ht="40" customHeight="1">
      <c r="A11" s="19" t="n">
        <v>5</v>
      </c>
      <c r="B11" s="16" t="inlineStr">
        <is>
          <t>Correct the spelling of 'Pipri Marshalling Yard' in the railway's own operational database</t>
        </is>
      </c>
      <c r="C11" s="29" t="inlineStr">
        <is>
          <t>Violation</t>
        </is>
      </c>
      <c r="D11" s="33" t="inlineStr">
        <is>
          <t>Transform must not write to the source: correcting the spelling in the railway's own operational database is a write-back to a system the pipeline does not own.</t>
        </is>
      </c>
    </row>
    <row r="12" ht="40" customHeight="1">
      <c r="A12" s="19" t="n">
        <v>6</v>
      </c>
      <c r="B12" s="16" t="inlineStr">
        <is>
          <t>Multiply the rail weight column by 1,000</t>
        </is>
      </c>
      <c r="C12" s="29" t="inlineStr">
        <is>
          <t>Transform</t>
        </is>
      </c>
      <c r="D12" s="33" t="inlineStr">
        <is>
          <t>Unit conversion is transform work: rail tons become kilograms here, per source, before the append.</t>
        </is>
      </c>
    </row>
    <row r="13" ht="40" customHeight="1">
      <c r="A13" s="19" t="n">
        <v>7</v>
      </c>
      <c r="B13" s="16" t="inlineStr">
        <is>
          <t>Decide that 'Port Qasim' means Karachi</t>
        </is>
      </c>
      <c r="C13" s="29" t="inlineStr">
        <is>
          <t>Transform</t>
        </is>
      </c>
      <c r="D13" s="33" t="inlineStr">
        <is>
          <t>Deciding what a spelling means is a conforming judgement, owned by transform.</t>
        </is>
      </c>
    </row>
    <row r="14" ht="40" customHeight="1">
      <c r="A14" s="19" t="n">
        <v>8</v>
      </c>
      <c r="B14" s="16" t="inlineStr">
        <is>
          <t>Route a city the alias map does not recognise to CityKey -1</t>
        </is>
      </c>
      <c r="C14" s="29" t="inlineStr">
        <is>
          <t>Transform</t>
        </is>
      </c>
      <c r="D14" s="33" t="inlineStr">
        <is>
          <t>Conforming plus Unknown routing is transform work: the alias lookup and the -1 rule live here.</t>
        </is>
      </c>
    </row>
    <row r="15" ht="40" customHeight="1">
      <c r="A15" s="19" t="n">
        <v>9</v>
      </c>
      <c r="B15" s="16" t="inlineStr">
        <is>
          <t>Insert the four independent dimensions before FactShipment</t>
        </is>
      </c>
      <c r="C15" s="29" t="inlineStr">
        <is>
          <t>Load</t>
        </is>
      </c>
      <c r="D15" s="33" t="inlineStr">
        <is>
          <t>Dependency order inside load: the dimensions a fact references must land before the fact table itself.</t>
        </is>
      </c>
    </row>
    <row r="16" ht="40" customHeight="1">
      <c r="A16" s="19" t="n">
        <v>10</v>
      </c>
      <c r="B16" s="16" t="inlineStr">
        <is>
          <t>Work out what to do about a blank status value while writing the fact rows</t>
        </is>
      </c>
      <c r="C16" s="29" t="inlineStr">
        <is>
          <t>Violation</t>
        </is>
      </c>
      <c r="D16" s="33" t="inlineStr">
        <is>
          <t>Load must not decide anything: a blank status must already have a rule from transform. Deciding at write time hides a transform gap and makes the load unrepeatable.</t>
        </is>
      </c>
    </row>
    <row r="17" ht="40" customHeight="1">
      <c r="A17" s="19" t="n">
        <v>11</v>
      </c>
      <c r="B17" s="16" t="inlineStr">
        <is>
          <t>Wrap the six table writes so that either all of them land or none do</t>
        </is>
      </c>
      <c r="C17" s="29" t="inlineStr">
        <is>
          <t>Load</t>
        </is>
      </c>
      <c r="D17" s="33" t="inlineStr">
        <is>
          <t>Transactional load: all six table writes land together or none do, so a half-loaded star is impossible.</t>
        </is>
      </c>
    </row>
    <row r="18" ht="40" customHeight="1">
      <c r="A18" s="19" t="n">
        <v>12</v>
      </c>
      <c r="B18" s="16" t="inlineStr">
        <is>
          <t>Publish the staging table to the sales team so they can get at the data sooner</t>
        </is>
      </c>
      <c r="C18" s="29" t="inlineStr">
        <is>
          <t>Violation</t>
        </is>
      </c>
      <c r="D18" s="33" t="inlineStr">
        <is>
          <t>No stage may publish staging: staging is never user-facing (see the paragraph below).</t>
        </is>
      </c>
    </row>
    <row r="19"/>
    <row r="20" ht="22" customHeight="1">
      <c r="A20" s="3" t="inlineStr">
        <is>
          <t>Self-check — all four must pass</t>
        </is>
      </c>
    </row>
    <row r="21">
      <c r="B21" s="27" t="inlineStr">
        <is>
          <t>Verdicts of Extract</t>
        </is>
      </c>
      <c r="C21" s="31">
        <f>COUNTIF(C7:C18,"Extract")</f>
        <v/>
      </c>
      <c r="D21" s="19">
        <f>IF(COUNTA(C7:C18)=0,"",IF(COUNTIF(C7:C18,"Extract")=2,"✔ pass","✘ fix"))</f>
        <v/>
      </c>
    </row>
    <row r="22">
      <c r="B22" s="27" t="inlineStr">
        <is>
          <t>Verdicts of Transform</t>
        </is>
      </c>
      <c r="C22" s="31">
        <f>COUNTIF(C7:C18,"Transform")</f>
        <v/>
      </c>
      <c r="D22" s="19">
        <f>IF(COUNTA(C7:C18)=0,"",IF(COUNTIF(C7:C18,"Transform")=4,"✔ pass","✘ fix"))</f>
        <v/>
      </c>
    </row>
    <row r="23">
      <c r="B23" s="27" t="inlineStr">
        <is>
          <t>Verdicts of Load</t>
        </is>
      </c>
      <c r="C23" s="31">
        <f>COUNTIF(C7:C18,"Load")</f>
        <v/>
      </c>
      <c r="D23" s="19">
        <f>IF(COUNTA(C7:C18)=0,"",IF(COUNTIF(C7:C18,"Load")=2,"✔ pass","✘ fix"))</f>
        <v/>
      </c>
    </row>
    <row r="24">
      <c r="B24" s="27" t="inlineStr">
        <is>
          <t>Verdicts of Violation</t>
        </is>
      </c>
      <c r="C24" s="31">
        <f>COUNTIF(C7:C18,"Violation")</f>
        <v/>
      </c>
      <c r="D24" s="19">
        <f>IF(COUNTA(C7:C18)=0,"",IF(COUNTIF(C7:C18,"Violation")=4,"✔ pass","✘ fix"))</f>
        <v/>
      </c>
    </row>
    <row r="25" ht="32" customHeight="1">
      <c r="A25" s="18" t="inlineStr">
        <is>
          <t>Transform takes 4 of the twelve, and that is not an accident of how the list was written — transform is where nearly all the work and nearly all the judgement lives. Extract has one job and Load has no judgement at all.</t>
        </is>
      </c>
    </row>
    <row r="26"/>
    <row r="27" ht="22" customHeight="1">
      <c r="A27" s="3" t="inlineStr">
        <is>
          <t>One paragraph, worth 4 of the 12 marks</t>
        </is>
      </c>
    </row>
    <row r="28">
      <c r="B28" s="32" t="inlineStr">
        <is>
          <t>Activity 12 is the one students defend. Say why staging is never user-facing — and name the Power Query setting that enforces it.</t>
        </is>
      </c>
      <c r="C28" s="25" t="n"/>
      <c r="D28" s="42" t="n"/>
      <c r="E28" s="42" t="n"/>
      <c r="F28" s="42" t="n"/>
      <c r="G28" s="14" t="n"/>
    </row>
    <row r="29" ht="28" customHeight="1">
      <c r="B29" s="33" t="inlineStr">
        <is>
          <t>Staging is never user-facing because staging holds dirty, unreconciled, pre-conform data in the source's schema, not the star's: the blank line and the TOTAL footer are still in it, rail weight is still in tons, dates are still in three formats, and city spellings are still twenty-three variants of fourteen cities. Exposing it lets reports bake in exactly the defects the pipeline exists to remove, and breaks the single-version-of-truth contract — two teams would report two different totals from the same warehouse, one from staging and one from the star, with no way to say which is true. The Power Query setting that enforces the boundary is 'Enable load' set to OFF (connection-only) on every staging query: the query runs and feeds the model, but it never becomes a table anybody can open, filter or build a report on.</t>
        </is>
      </c>
      <c r="C29" s="43" t="n"/>
      <c r="D29" s="43" t="n"/>
      <c r="E29" s="43" t="n"/>
      <c r="F29" s="43" t="n"/>
      <c r="G29" s="44" t="n"/>
    </row>
    <row r="30">
      <c r="B30" s="45" t="n"/>
      <c r="G30" s="46" t="n"/>
    </row>
    <row r="31">
      <c r="B31" s="45" t="n"/>
      <c r="G31" s="46" t="n"/>
    </row>
    <row r="32">
      <c r="B32" s="47" t="n"/>
      <c r="C32" s="48" t="n"/>
      <c r="D32" s="48" t="n"/>
      <c r="E32" s="48" t="n"/>
      <c r="F32" s="48" t="n"/>
      <c r="G32" s="49" t="n"/>
    </row>
  </sheetData>
  <mergeCells count="8">
    <mergeCell ref="B29:G32"/>
    <mergeCell ref="A1:G1"/>
    <mergeCell ref="A27:G27"/>
    <mergeCell ref="A4:G4"/>
    <mergeCell ref="C28:G28"/>
    <mergeCell ref="A20:G20"/>
    <mergeCell ref="A2:G2"/>
    <mergeCell ref="A25:G25"/>
  </mergeCells>
  <dataValidations count="1">
    <dataValidation sqref="C7:C18" showDropDown="0" showInputMessage="0" showErrorMessage="0" allowBlank="0" type="list">
      <formula1>"Extract,Transform,Load,Violation"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5" customWidth="1" min="1" max="1"/>
    <col width="46" customWidth="1" min="2" max="2"/>
    <col width="8" customWidth="1" min="3" max="3"/>
    <col width="12" customWidth="1" min="4" max="4"/>
    <col width="13" customWidth="1" min="5" max="5"/>
    <col width="12" customWidth="1" min="6" max="6"/>
    <col width="52" customWidth="1" min="7" max="7"/>
  </cols>
  <sheetData>
    <row r="1" ht="30" customHeight="1">
      <c r="A1" s="1" t="inlineStr">
        <is>
          <t>T3 · Order The Seventeen Steps — 20 marks</t>
        </is>
      </c>
    </row>
    <row r="2" ht="30" customHeight="1">
      <c r="A2" s="2" t="inlineStr">
        <is>
          <t>The steps are listed alphabetically, not in run order. Put them in an order that works, say which stage owns each one and whether it runs per source or once, and then defend the three orderings that are not negotiable.</t>
        </is>
      </c>
    </row>
    <row r="3"/>
    <row r="4" ht="70" customHeight="1">
      <c r="A4" s="4" t="inlineStr">
        <is>
          <t>Shape, then text, then type, then keys. Four words in that order will get you through most of this task, most of the lab and most of the midterm practical.
Differences in wording do not matter. Differences in order matter a great deal — and only three of them are actually forbidden. Everything else is taste: trim before or after casing, rename before or after dropping columns. Pick one and be consistent, because the next person has to read it.</t>
        </is>
      </c>
    </row>
    <row r="5"/>
    <row r="6" ht="32" customHeight="1">
      <c r="A6" s="5" t="inlineStr">
        <is>
          <t>#</t>
        </is>
      </c>
      <c r="B6" s="5" t="inlineStr">
        <is>
          <t>Step, in alphabetical order</t>
        </is>
      </c>
      <c r="C6" s="5" t="inlineStr">
        <is>
          <t>Run order</t>
        </is>
      </c>
      <c r="D6" s="5" t="inlineStr">
        <is>
          <t>Stage</t>
        </is>
      </c>
      <c r="E6" s="5" t="inlineStr">
        <is>
          <t>Per source / once</t>
        </is>
      </c>
      <c r="F6" s="5" t="inlineStr">
        <is>
          <t>Defects cleared</t>
        </is>
      </c>
      <c r="G6" s="5" t="inlineStr">
        <is>
          <t>Why it sits where you put it</t>
        </is>
      </c>
    </row>
    <row r="7" ht="38" customHeight="1">
      <c r="A7" s="10" t="n">
        <v>1</v>
      </c>
      <c r="B7" s="16" t="inlineStr">
        <is>
          <t>Add ModeKey — assigned by source, not read</t>
        </is>
      </c>
      <c r="C7" s="29" t="n">
        <v>10</v>
      </c>
      <c r="D7" s="29" t="inlineStr">
        <is>
          <t>Transform</t>
        </is>
      </c>
      <c r="E7" s="29" t="inlineStr">
        <is>
          <t>per source</t>
        </is>
      </c>
      <c r="F7" s="29" t="inlineStr">
        <is>
          <t>10</t>
        </is>
      </c>
      <c r="G7" s="30" t="inlineStr">
        <is>
          <t>ModeKey is assigned by source, so it must be added while each frame still knows which file it came from — after the append that information is gone.</t>
        </is>
      </c>
    </row>
    <row r="8" ht="38" customHeight="1">
      <c r="A8" s="10" t="n">
        <v>2</v>
      </c>
      <c r="B8" s="16" t="inlineStr">
        <is>
          <t>Append the three queries into one table</t>
        </is>
      </c>
      <c r="C8" s="29" t="n">
        <v>11</v>
      </c>
      <c r="D8" s="29" t="inlineStr">
        <is>
          <t>Transform</t>
        </is>
      </c>
      <c r="E8" s="29" t="inlineStr">
        <is>
          <t>once</t>
        </is>
      </c>
      <c r="F8" s="29" t="inlineStr">
        <is>
          <t>—</t>
        </is>
      </c>
      <c r="G8" s="30" t="inlineStr">
        <is>
          <t>Only after every frame shares the seven-name contract can the three tables be combined into one.</t>
        </is>
      </c>
    </row>
    <row r="9" ht="38" customHeight="1">
      <c r="A9" s="10" t="n">
        <v>3</v>
      </c>
      <c r="B9" s="16" t="inlineStr">
        <is>
          <t>Conform names, look up keys, unmatched to -1</t>
        </is>
      </c>
      <c r="C9" s="29" t="n">
        <v>13</v>
      </c>
      <c r="D9" s="29" t="inlineStr">
        <is>
          <t>Transform</t>
        </is>
      </c>
      <c r="E9" s="29" t="inlineStr">
        <is>
          <t>once</t>
        </is>
      </c>
      <c r="F9" s="29" t="inlineStr">
        <is>
          <t>7</t>
        </is>
      </c>
      <c r="G9" s="30" t="inlineStr">
        <is>
          <t>Keys can only be looked up once, on the combined table, after the text is trimmed, cased and typed — a lookup on a dirty value fails.</t>
        </is>
      </c>
    </row>
    <row r="10" ht="38" customHeight="1">
      <c r="A10" s="10" t="n">
        <v>4</v>
      </c>
      <c r="B10" s="16" t="inlineStr">
        <is>
          <t>Connect to all three sources</t>
        </is>
      </c>
      <c r="C10" s="29" t="n">
        <v>1</v>
      </c>
      <c r="D10" s="29" t="inlineStr">
        <is>
          <t>Extract</t>
        </is>
      </c>
      <c r="E10" s="29" t="inlineStr">
        <is>
          <t>per source</t>
        </is>
      </c>
      <c r="F10" s="29" t="inlineStr">
        <is>
          <t>—</t>
        </is>
      </c>
      <c r="G10" s="30" t="inlineStr">
        <is>
          <t>First contact with each source; a connection reads, it changes nothing.</t>
        </is>
      </c>
    </row>
    <row r="11" ht="38" customHeight="1">
      <c r="A11" s="10" t="n">
        <v>5</v>
      </c>
      <c r="B11" s="16" t="inlineStr">
        <is>
          <t>Convert rail tons to kilograms; set types</t>
        </is>
      </c>
      <c r="C11" s="29" t="n">
        <v>9</v>
      </c>
      <c r="D11" s="29" t="inlineStr">
        <is>
          <t>Transform</t>
        </is>
      </c>
      <c r="E11" s="29" t="inlineStr">
        <is>
          <t>per source</t>
        </is>
      </c>
      <c r="F11" s="29" t="inlineStr">
        <is>
          <t>3</t>
        </is>
      </c>
      <c r="G11" s="30" t="inlineStr">
        <is>
          <t>Tons must become kilograms while the frame still knows it is rail — after the append there is no source flag left to tell tons from kilograms.</t>
        </is>
      </c>
    </row>
    <row r="12" ht="38" customHeight="1">
      <c r="A12" s="10" t="n">
        <v>6</v>
      </c>
      <c r="B12" s="16" t="inlineStr">
        <is>
          <t>Land a faithful copy, unchanged</t>
        </is>
      </c>
      <c r="C12" s="29" t="n">
        <v>2</v>
      </c>
      <c r="D12" s="29" t="inlineStr">
        <is>
          <t>Extract</t>
        </is>
      </c>
      <c r="E12" s="29" t="inlineStr">
        <is>
          <t>per source</t>
        </is>
      </c>
      <c r="F12" s="29" t="inlineStr">
        <is>
          <t>—</t>
        </is>
      </c>
      <c r="G12" s="30" t="inlineStr">
        <is>
          <t>A faithful, unchanged copy is landed first, junk included, so the source can always be proved against.</t>
        </is>
      </c>
    </row>
    <row r="13" ht="38" customHeight="1">
      <c r="A13" s="10" t="n">
        <v>7</v>
      </c>
      <c r="B13" s="16" t="inlineStr">
        <is>
          <t>Load DimRoute (needs city keys)</t>
        </is>
      </c>
      <c r="C13" s="29" t="n">
        <v>15</v>
      </c>
      <c r="D13" s="29" t="inlineStr">
        <is>
          <t>Load</t>
        </is>
      </c>
      <c r="E13" s="29" t="inlineStr">
        <is>
          <t>once</t>
        </is>
      </c>
      <c r="F13" s="29" t="inlineStr">
        <is>
          <t>—</t>
        </is>
      </c>
      <c r="G13" s="30" t="inlineStr">
        <is>
          <t>DimRoute needs city keys, so it loads after the independent dimensions that supply those keys.</t>
        </is>
      </c>
    </row>
    <row r="14" ht="38" customHeight="1">
      <c r="A14" s="10" t="n">
        <v>8</v>
      </c>
      <c r="B14" s="16" t="inlineStr">
        <is>
          <t>Load FactShipment</t>
        </is>
      </c>
      <c r="C14" s="29" t="n">
        <v>16</v>
      </c>
      <c r="D14" s="29" t="inlineStr">
        <is>
          <t>Load</t>
        </is>
      </c>
      <c r="E14" s="29" t="inlineStr">
        <is>
          <t>once</t>
        </is>
      </c>
      <c r="F14" s="29" t="inlineStr">
        <is>
          <t>—</t>
        </is>
      </c>
      <c r="G14" s="30" t="inlineStr">
        <is>
          <t>The fact loads only after every dimension it references is already in place.</t>
        </is>
      </c>
    </row>
    <row r="15" ht="38" customHeight="1">
      <c r="A15" s="10" t="n">
        <v>9</v>
      </c>
      <c r="B15" s="16" t="inlineStr">
        <is>
          <t>Load the four independent dimensions</t>
        </is>
      </c>
      <c r="C15" s="29" t="n">
        <v>14</v>
      </c>
      <c r="D15" s="29" t="inlineStr">
        <is>
          <t>Load</t>
        </is>
      </c>
      <c r="E15" s="29" t="inlineStr">
        <is>
          <t>once</t>
        </is>
      </c>
      <c r="F15" s="29" t="inlineStr">
        <is>
          <t>—</t>
        </is>
      </c>
      <c r="G15" s="30" t="inlineStr">
        <is>
          <t>The four independent dimensions depend on nothing, so they load first, in any order.</t>
        </is>
      </c>
    </row>
    <row r="16" ht="38" customHeight="1">
      <c r="A16" s="10" t="n">
        <v>10</v>
      </c>
      <c r="B16" s="16" t="inlineStr">
        <is>
          <t>Log source, time and row count</t>
        </is>
      </c>
      <c r="C16" s="29" t="n">
        <v>3</v>
      </c>
      <c r="D16" s="29" t="inlineStr">
        <is>
          <t>Extract</t>
        </is>
      </c>
      <c r="E16" s="29" t="inlineStr">
        <is>
          <t>per source</t>
        </is>
      </c>
      <c r="F16" s="29" t="inlineStr">
        <is>
          <t>—</t>
        </is>
      </c>
      <c r="G16" s="30" t="inlineStr">
        <is>
          <t>One log entry per file, written at extract time, so the 37-row landing — junk included — can be audited against the sources.</t>
        </is>
      </c>
    </row>
    <row r="17" ht="38" customHeight="1">
      <c r="A17" s="10" t="n">
        <v>11</v>
      </c>
      <c r="B17" s="16" t="inlineStr">
        <is>
          <t>Normalise status casing to Proper Case</t>
        </is>
      </c>
      <c r="C17" s="29" t="n">
        <v>7</v>
      </c>
      <c r="D17" s="29" t="inlineStr">
        <is>
          <t>Transform</t>
        </is>
      </c>
      <c r="E17" s="29" t="inlineStr">
        <is>
          <t>per source</t>
        </is>
      </c>
      <c r="F17" s="29" t="inlineStr">
        <is>
          <t>6</t>
        </is>
      </c>
      <c r="G17" s="30" t="inlineStr">
        <is>
          <t>After trim, so casing normalises clean values only; casing a spaced value still leaves two variants.</t>
        </is>
      </c>
    </row>
    <row r="18" ht="38" customHeight="1">
      <c r="A18" s="10" t="n">
        <v>12</v>
      </c>
      <c r="B18" s="16" t="inlineStr">
        <is>
          <t>Parse dates with an explicit locale</t>
        </is>
      </c>
      <c r="C18" s="29" t="n">
        <v>8</v>
      </c>
      <c r="D18" s="29" t="inlineStr">
        <is>
          <t>Transform</t>
        </is>
      </c>
      <c r="E18" s="29" t="inlineStr">
        <is>
          <t>per source</t>
        </is>
      </c>
      <c r="F18" s="29" t="inlineStr">
        <is>
          <t>4</t>
        </is>
      </c>
      <c r="G18" s="30" t="inlineStr">
        <is>
          <t>Dates are typed with an explicit locale before any month is derived from them — typing after derivation derives the wrong months.</t>
        </is>
      </c>
    </row>
    <row r="19" ht="38" customHeight="1">
      <c r="A19" s="10" t="n">
        <v>13</v>
      </c>
      <c r="B19" s="16" t="inlineStr">
        <is>
          <t>Promote headers; drop junk rows and columns</t>
        </is>
      </c>
      <c r="C19" s="29" t="n">
        <v>4</v>
      </c>
      <c r="D19" s="29" t="inlineStr">
        <is>
          <t>Transform</t>
        </is>
      </c>
      <c r="E19" s="29" t="inlineStr">
        <is>
          <t>per source</t>
        </is>
      </c>
      <c r="F19" s="29" t="inlineStr">
        <is>
          <t>2, 8</t>
        </is>
      </c>
      <c r="G19" s="30" t="inlineStr">
        <is>
          <t>Shape comes first: headers must exist before any column can be renamed, trimmed or typed, and junk rows and columns drop here.</t>
        </is>
      </c>
    </row>
    <row r="20" ht="38" customHeight="1">
      <c r="A20" s="10" t="n">
        <v>14</v>
      </c>
      <c r="B20" s="16" t="inlineStr">
        <is>
          <t>Reconcile, or fail the run</t>
        </is>
      </c>
      <c r="C20" s="29" t="n">
        <v>17</v>
      </c>
      <c r="D20" s="29" t="inlineStr">
        <is>
          <t>Load</t>
        </is>
      </c>
      <c r="E20" s="29" t="inlineStr">
        <is>
          <t>once</t>
        </is>
      </c>
      <c r="F20" s="29" t="inlineStr">
        <is>
          <t>—</t>
        </is>
      </c>
      <c r="G20" s="30" t="inlineStr">
        <is>
          <t>The gate on the commit: row counts and totals must reconcile before the load is accepted, or the run fails instead of publishing a wrong star.</t>
        </is>
      </c>
    </row>
    <row r="21" ht="38" customHeight="1">
      <c r="A21" s="10" t="n">
        <v>15</v>
      </c>
      <c r="B21" s="16" t="inlineStr">
        <is>
          <t>Remove duplicates, now that rows compare</t>
        </is>
      </c>
      <c r="C21" s="29" t="n">
        <v>12</v>
      </c>
      <c r="D21" s="29" t="inlineStr">
        <is>
          <t>Transform</t>
        </is>
      </c>
      <c r="E21" s="29" t="inlineStr">
        <is>
          <t>once</t>
        </is>
      </c>
      <c r="F21" s="29" t="inlineStr">
        <is>
          <t>9</t>
        </is>
      </c>
      <c r="G21" s="30" t="inlineStr">
        <is>
          <t>After trim, on the combined table, so a duplicate that differs only by a trailing space is still caught — and duplicates across sources are caught too.</t>
        </is>
      </c>
    </row>
    <row r="22" ht="38" customHeight="1">
      <c r="A22" s="10" t="n">
        <v>16</v>
      </c>
      <c r="B22" s="16" t="inlineStr">
        <is>
          <t>Rename every column to the common contract</t>
        </is>
      </c>
      <c r="C22" s="29" t="n">
        <v>5</v>
      </c>
      <c r="D22" s="29" t="inlineStr">
        <is>
          <t>Transform</t>
        </is>
      </c>
      <c r="E22" s="29" t="inlineStr">
        <is>
          <t>per source</t>
        </is>
      </c>
      <c r="F22" s="29" t="inlineStr">
        <is>
          <t>1</t>
        </is>
      </c>
      <c r="G22" s="30" t="inlineStr">
        <is>
          <t>Every frame is renamed to the common contract before the append, or the append cannot merge them (constraint 1).</t>
        </is>
      </c>
    </row>
    <row r="23" ht="38" customHeight="1">
      <c r="A23" s="10" t="n">
        <v>17</v>
      </c>
      <c r="B23" s="16" t="inlineStr">
        <is>
          <t>Trim and clean all text columns</t>
        </is>
      </c>
      <c r="C23" s="29" t="n">
        <v>6</v>
      </c>
      <c r="D23" s="29" t="inlineStr">
        <is>
          <t>Transform</t>
        </is>
      </c>
      <c r="E23" s="29" t="inlineStr">
        <is>
          <t>per source</t>
        </is>
      </c>
      <c r="F23" s="29" t="inlineStr">
        <is>
          <t>5</t>
        </is>
      </c>
      <c r="G23" s="30" t="inlineStr">
        <is>
          <t>Text is cleaned before casing, typing or key lookup — a lookup on an untrimmed value fails, and a dedup on an untrimmed row misses (constraint 2).</t>
        </is>
      </c>
    </row>
    <row r="24"/>
    <row r="25" ht="22" customHeight="1">
      <c r="A25" s="3" t="inlineStr">
        <is>
          <t>Self-check — six counts, and every one of them must pass</t>
        </is>
      </c>
    </row>
    <row r="26">
      <c r="B26" s="27" t="inlineStr">
        <is>
          <t>Run-order numbers used, each exactly once</t>
        </is>
      </c>
      <c r="C26" s="31">
        <f>SUMPRODUCT((COUNTIF(C7:C23,ROW(INDIRECT("1:17")))=1)*1)</f>
        <v/>
      </c>
      <c r="D26" s="19">
        <f>IF(COUNTA(C7:E23)=0,"",IF(SUMPRODUCT((COUNTIF(C7:C23,ROW(INDIRECT("1:17")))=1)*1)=17,"✔ pass","✘ fix"))</f>
        <v/>
      </c>
      <c r="E26" s="8" t="inlineStr">
        <is>
          <t>expected 17</t>
        </is>
      </c>
      <c r="F26" s="42" t="n"/>
      <c r="G26" s="14" t="n"/>
    </row>
    <row r="27">
      <c r="B27" s="27" t="inlineStr">
        <is>
          <t>Extract steps</t>
        </is>
      </c>
      <c r="C27" s="31">
        <f>COUNTIF(D7:D23,"Extract")</f>
        <v/>
      </c>
      <c r="D27" s="19">
        <f>IF(COUNTA(C7:E23)=0,"",IF(COUNTIF(D7:D23,"Extract")=3,"✔ pass","✘ fix"))</f>
        <v/>
      </c>
      <c r="E27" s="8" t="inlineStr">
        <is>
          <t>expected 3</t>
        </is>
      </c>
      <c r="F27" s="42" t="n"/>
      <c r="G27" s="14" t="n"/>
    </row>
    <row r="28">
      <c r="B28" s="27" t="inlineStr">
        <is>
          <t>Transform steps</t>
        </is>
      </c>
      <c r="C28" s="31">
        <f>COUNTIF(D7:D23,"Transform")</f>
        <v/>
      </c>
      <c r="D28" s="19">
        <f>IF(COUNTA(C7:E23)=0,"",IF(COUNTIF(D7:D23,"Transform")=10,"✔ pass","✘ fix"))</f>
        <v/>
      </c>
      <c r="E28" s="8" t="inlineStr">
        <is>
          <t>expected 10</t>
        </is>
      </c>
      <c r="F28" s="42" t="n"/>
      <c r="G28" s="14" t="n"/>
    </row>
    <row r="29">
      <c r="B29" s="27" t="inlineStr">
        <is>
          <t>Load steps</t>
        </is>
      </c>
      <c r="C29" s="31">
        <f>COUNTIF(D7:D23,"Load")</f>
        <v/>
      </c>
      <c r="D29" s="19">
        <f>IF(COUNTA(C7:E23)=0,"",IF(COUNTIF(D7:D23,"Load")=4,"✔ pass","✘ fix"))</f>
        <v/>
      </c>
      <c r="E29" s="8" t="inlineStr">
        <is>
          <t>expected 4</t>
        </is>
      </c>
      <c r="F29" s="42" t="n"/>
      <c r="G29" s="14" t="n"/>
    </row>
    <row r="30">
      <c r="B30" s="27" t="inlineStr">
        <is>
          <t>Steps that run per source</t>
        </is>
      </c>
      <c r="C30" s="31">
        <f>COUNTIF(E7:E23,"per source")</f>
        <v/>
      </c>
      <c r="D30" s="19">
        <f>IF(COUNTA(C7:E23)=0,"",IF(COUNTIF(E7:E23,"per source")=10,"✔ pass","✘ fix"))</f>
        <v/>
      </c>
      <c r="E30" s="8" t="inlineStr">
        <is>
          <t>expected 10</t>
        </is>
      </c>
      <c r="F30" s="42" t="n"/>
      <c r="G30" s="14" t="n"/>
    </row>
    <row r="31">
      <c r="B31" s="27" t="inlineStr">
        <is>
          <t>Steps that run once, on the combined table</t>
        </is>
      </c>
      <c r="C31" s="31">
        <f>COUNTIF(E7:E23,"once")</f>
        <v/>
      </c>
      <c r="D31" s="19">
        <f>IF(COUNTA(C7:E23)=0,"",IF(COUNTIF(E7:E23,"once")=7,"✔ pass","✘ fix"))</f>
        <v/>
      </c>
      <c r="E31" s="8" t="inlineStr">
        <is>
          <t>expected 7</t>
        </is>
      </c>
      <c r="F31" s="42" t="n"/>
      <c r="G31" s="14" t="n"/>
    </row>
    <row r="32" ht="34" customHeight="1">
      <c r="A32" s="18" t="inlineStr">
        <is>
          <t>10 per source and 7 once. Every step up to and including “Add ModeKey” runs on each of the three queries; from the append onwards there is only one table left to run on. Getting this column wrong is how a student ends up appending three already-deduplicated tables and still finding a duplicate.</t>
        </is>
      </c>
    </row>
    <row r="33"/>
    <row r="34" ht="22" customHeight="1">
      <c r="A34" s="3" t="inlineStr">
        <is>
          <t>The three constraints that are not negotiable — 9 of the 20 marks</t>
        </is>
      </c>
    </row>
    <row r="35" ht="32" customHeight="1">
      <c r="A35" s="5" t="inlineStr">
        <is>
          <t>#</t>
        </is>
      </c>
      <c r="B35" s="5" t="inlineStr">
        <is>
          <t>The constraint</t>
        </is>
      </c>
      <c r="C35" s="5" t="inlineStr">
        <is>
          <t>Before</t>
        </is>
      </c>
      <c r="D35" s="5" t="inlineStr">
        <is>
          <t>After</t>
        </is>
      </c>
      <c r="E35" s="5" t="inlineStr">
        <is>
          <t>The cost of breaking it, in numbers</t>
        </is>
      </c>
      <c r="F35" s="5" t="inlineStr"/>
      <c r="G35" s="5" t="inlineStr">
        <is>
          <t>Why</t>
        </is>
      </c>
    </row>
    <row r="36" ht="56" customHeight="1">
      <c r="A36" s="19" t="n">
        <v>1</v>
      </c>
      <c r="B36" s="32" t="inlineStr">
        <is>
          <t>Rename before append</t>
        </is>
      </c>
      <c r="C36" s="29" t="inlineStr">
        <is>
          <t>Rename every column to the common contract</t>
        </is>
      </c>
      <c r="D36" s="29" t="inlineStr">
        <is>
          <t>Append the three queries</t>
        </is>
      </c>
      <c r="E36" s="33" t="inlineStr">
        <is>
          <t>20-column fact table (7 + 7 + 7 minus only the shared Status; an append of un-renamed frames)</t>
        </is>
      </c>
      <c r="F36" s="14" t="n"/>
      <c r="G36" s="30" t="inlineStr">
        <is>
          <t>Append aligns on column names, so un-renamed columns do not merge — each source's columns survive side by side and no shipment is ever whole.</t>
        </is>
      </c>
    </row>
    <row r="37" ht="56" customHeight="1">
      <c r="A37" s="19" t="n">
        <v>2</v>
      </c>
      <c r="B37" s="32" t="inlineStr">
        <is>
          <t>Trim before deduplicate</t>
        </is>
      </c>
      <c r="C37" s="29" t="inlineStr">
        <is>
          <t>Trim and clean</t>
        </is>
      </c>
      <c r="D37" s="29" t="inlineStr">
        <is>
          <t>Remove duplicates</t>
        </is>
      </c>
      <c r="E37" s="33" t="inlineStr">
        <is>
          <t>A surviving duplicate (night 2: 36 rows / 591,550 kg instead of 35 / 584,950 kg)</t>
        </is>
      </c>
      <c r="F37" s="14" t="n"/>
      <c r="G37" s="30" t="inlineStr">
        <is>
          <t>Dedup compares byte-wise: a trailing space makes two rows different, so an untrimmed duplicate survives the dedup step.</t>
        </is>
      </c>
    </row>
    <row r="38" ht="56" customHeight="1">
      <c r="A38" s="19" t="n">
        <v>3</v>
      </c>
      <c r="B38" s="32" t="inlineStr">
        <is>
          <t>Convert before append</t>
        </is>
      </c>
      <c r="C38" s="29" t="inlineStr">
        <is>
          <t>Convert rail tons to kilograms</t>
        </is>
      </c>
      <c r="D38" s="29" t="inlineStr">
        <is>
          <t>Append</t>
        </is>
      </c>
      <c r="E38" s="33" t="inlineStr">
        <is>
          <t>283,695.25 kg instead of 578,650 kg</t>
        </is>
      </c>
      <c r="F38" s="14" t="n"/>
      <c r="G38" s="30" t="inlineStr">
        <is>
          <t>After the append there is no source flag left to tell tons from kilograms, so the conversion must happen while the frame still knows it is rail.</t>
        </is>
      </c>
    </row>
    <row r="39"/>
    <row r="40" ht="22" customHeight="1">
      <c r="A40" s="3" t="inlineStr">
        <is>
          <t>And the question that separates a rule from a habit — 4 of the 20 marks</t>
        </is>
      </c>
    </row>
    <row r="41">
      <c r="B41" s="32" t="inlineStr">
        <is>
          <t>Run the dedup step before the trim step on tonight's road file and you still get 34 rows. So why is “trim before dedup” a constraint and not a preference?</t>
        </is>
      </c>
      <c r="C41" s="25" t="n"/>
      <c r="D41" s="42" t="n"/>
      <c r="E41" s="42" t="n"/>
      <c r="F41" s="42" t="n"/>
      <c r="G41" s="14" t="n"/>
    </row>
    <row r="42" ht="28" customHeight="1">
      <c r="B42" s="33" t="inlineStr">
        <is>
          <t>Dedup-before-trim still gives 34 rows on tonight's road file because the two RD-505 rows are byte-identical: there is no whitespace difference between them at all, so even an untrimmed dedup catches them. Trim-before-dedup is still a constraint because dedup's correctness must not depend on the accident that tonight's duplicate happens to be clean. Night 2 proves it: its second RD-508 differs from the first by one trailing space and survives an untrimmed dedup, giving 36 rows and 591,550 kg instead of 35 and 584,950. A rule that works only when the defect is tidy is a preference; a rule that works regardless of what the next file contains is a constraint. The constraint is about the guarantee, not tonight's row count — and a pipeline is judged on the file it has not seen yet, not the one it has.</t>
        </is>
      </c>
      <c r="C42" s="43" t="n"/>
      <c r="D42" s="43" t="n"/>
      <c r="E42" s="43" t="n"/>
      <c r="F42" s="43" t="n"/>
      <c r="G42" s="44" t="n"/>
    </row>
    <row r="43">
      <c r="B43" s="45" t="n"/>
      <c r="G43" s="46" t="n"/>
    </row>
    <row r="44">
      <c r="B44" s="45" t="n"/>
      <c r="G44" s="46" t="n"/>
    </row>
    <row r="45">
      <c r="B45" s="45" t="n"/>
      <c r="G45" s="46" t="n"/>
    </row>
    <row r="46">
      <c r="B46" s="47" t="n"/>
      <c r="C46" s="48" t="n"/>
      <c r="D46" s="48" t="n"/>
      <c r="E46" s="48" t="n"/>
      <c r="F46" s="48" t="n"/>
      <c r="G46" s="49" t="n"/>
    </row>
  </sheetData>
  <mergeCells count="18">
    <mergeCell ref="A32:G32"/>
    <mergeCell ref="B42:G46"/>
    <mergeCell ref="E28:G28"/>
    <mergeCell ref="A1:G1"/>
    <mergeCell ref="E38:F38"/>
    <mergeCell ref="A40:G40"/>
    <mergeCell ref="E30:G30"/>
    <mergeCell ref="E27:G27"/>
    <mergeCell ref="A34:G34"/>
    <mergeCell ref="E31:G31"/>
    <mergeCell ref="A4:G4"/>
    <mergeCell ref="C41:G41"/>
    <mergeCell ref="E26:G26"/>
    <mergeCell ref="A2:G2"/>
    <mergeCell ref="E36:F36"/>
    <mergeCell ref="E37:F37"/>
    <mergeCell ref="A25:G25"/>
    <mergeCell ref="E29:G29"/>
  </mergeCells>
  <dataValidations count="2">
    <dataValidation sqref="D7:D23" showDropDown="0" showInputMessage="0" showErrorMessage="0" allowBlank="0" type="list">
      <formula1>"Extract,Transform,Load"</formula1>
    </dataValidation>
    <dataValidation sqref="E7:E23" showDropDown="0" showInputMessage="0" showErrorMessage="0" allowBlank="0" type="list">
      <formula1>"per source,once"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40" customWidth="1" min="2" max="2"/>
    <col width="11" customWidth="1" min="3" max="3"/>
    <col width="15" customWidth="1" min="4" max="4"/>
    <col width="15" customWidth="1" min="5" max="5"/>
    <col width="13" customWidth="1" min="6" max="6"/>
    <col width="50" customWidth="1" min="7" max="7"/>
  </cols>
  <sheetData>
    <row r="1" ht="30" customHeight="1">
      <c r="A1" s="1" t="inlineStr">
        <is>
          <t>T4 · Row Arithmetic — 15 marks</t>
        </is>
      </c>
    </row>
    <row r="2" ht="30" customHeight="1">
      <c r="A2" s="2" t="inlineStr">
        <is>
          <t>37 raw rows, 35 appended, 34 loaded. Every wrong total in the lab is 578,650 plus or minus something specific, and the something tells you which step failed. Learn to read the gap.</t>
        </is>
      </c>
    </row>
    <row r="3"/>
    <row r="4" ht="54" customHeight="1">
      <c r="A4" s="4" t="inlineStr">
        <is>
          <t>Fill the ladder from the files, not from the slides. Open data/source and add the columns up — three subtotals, one appended total, one loaded total. Then work the diagnostics underneath: each row is a symptom you will actually see in Power BI, and your job is the arithmetic that produced it and the step that was missing.</t>
        </is>
      </c>
    </row>
    <row r="5"/>
    <row r="6" ht="22" customHeight="1">
      <c r="A6" s="3" t="inlineStr">
        <is>
          <t>Part A · The ladder — 6 marks</t>
        </is>
      </c>
    </row>
    <row r="7" ht="32" customHeight="1">
      <c r="A7" s="5" t="inlineStr">
        <is>
          <t>#</t>
        </is>
      </c>
      <c r="B7" s="5" t="inlineStr">
        <is>
          <t>Stage</t>
        </is>
      </c>
      <c r="C7" s="5" t="inlineStr">
        <is>
          <t>Rows</t>
        </is>
      </c>
      <c r="D7" s="5" t="inlineStr">
        <is>
          <t>SUM(WeightKG)</t>
        </is>
      </c>
      <c r="E7" s="5" t="inlineStr">
        <is>
          <t>SUM(FreightCostPKR)</t>
        </is>
      </c>
      <c r="F7" s="5" t="inlineStr">
        <is>
          <t>Check</t>
        </is>
      </c>
      <c r="G7" s="5" t="inlineStr">
        <is>
          <t>What happens here</t>
        </is>
      </c>
    </row>
    <row r="8" ht="30" customHeight="1">
      <c r="A8" s="19" t="n">
        <v>1</v>
      </c>
      <c r="B8" s="16" t="inlineStr">
        <is>
          <t>marine_shipments.csv, as extracted</t>
        </is>
      </c>
      <c r="C8" s="35" t="n">
        <v>12</v>
      </c>
      <c r="D8" s="35" t="n">
        <v>206500</v>
      </c>
      <c r="E8" s="35" t="n">
        <v>1618000</v>
      </c>
      <c r="F8" s="19">
        <f>IF(C8="","",IF(AND(C8=12,D8=206500,E8=1618000),"✔ pass","✘ fix"))</f>
        <v/>
      </c>
      <c r="G8" s="8" t="inlineStr">
        <is>
          <t>clean file — no junk lines, nothing dropped</t>
        </is>
      </c>
    </row>
    <row r="9" ht="30" customHeight="1">
      <c r="A9" s="19" t="n">
        <v>2</v>
      </c>
      <c r="B9" s="16" t="inlineStr">
        <is>
          <t>rail_shipments.xlsx, as extracted</t>
        </is>
      </c>
      <c r="C9" s="35" t="n">
        <v>10</v>
      </c>
      <c r="D9" s="35" t="n">
        <v>295250</v>
      </c>
      <c r="E9" s="35" t="n">
        <v>2585000</v>
      </c>
      <c r="F9" s="19">
        <f>IF(C9="","",IF(AND(C9=10,D9=295250,E9=2585000),"✔ pass","✘ fix"))</f>
        <v/>
      </c>
      <c r="G9" s="8" t="inlineStr">
        <is>
          <t>10 rows, after the two title rows are skipped</t>
        </is>
      </c>
    </row>
    <row r="10" ht="30" customHeight="1">
      <c r="A10" s="19" t="n">
        <v>3</v>
      </c>
      <c r="B10" s="16" t="inlineStr">
        <is>
          <t>road_shipments.csv, as extracted</t>
        </is>
      </c>
      <c r="C10" s="35" t="n">
        <v>15</v>
      </c>
      <c r="D10" s="35" t="n">
        <v>83000</v>
      </c>
      <c r="E10" s="35" t="n">
        <v>652000</v>
      </c>
      <c r="F10" s="19">
        <f>IF(C10="","",IF(AND(C10=15,D10=83000,E10=652000),"✔ pass","✘ fix"))</f>
        <v/>
      </c>
      <c r="G10" s="8" t="inlineStr">
        <is>
          <t>15 rows land; 13 survive T1 — the blank line and the TOTAL footer go</t>
        </is>
      </c>
    </row>
    <row r="11" ht="30" customHeight="1">
      <c r="A11" s="19" t="n">
        <v>4</v>
      </c>
      <c r="B11" s="16" t="inlineStr">
        <is>
          <t>raw rows landed in staging</t>
        </is>
      </c>
      <c r="C11" s="35" t="n">
        <v>37</v>
      </c>
      <c r="D11" s="35" t="n"/>
      <c r="E11" s="35" t="n"/>
      <c r="F11" s="19">
        <f>IF(C11="","",IF(AND(C11=37),"✔ pass","✘ fix"))</f>
        <v/>
      </c>
      <c r="G11" s="8" t="inlineStr">
        <is>
          <t>what the extract log must say, junk included</t>
        </is>
      </c>
    </row>
    <row r="12" ht="30" customHeight="1">
      <c r="A12" s="19" t="n">
        <v>5</v>
      </c>
      <c r="B12" s="16" t="inlineStr">
        <is>
          <t>appended on T8</t>
        </is>
      </c>
      <c r="C12" s="35" t="n">
        <v>35</v>
      </c>
      <c r="D12" s="35" t="n">
        <v>584750</v>
      </c>
      <c r="E12" s="35" t="n">
        <v>4855000</v>
      </c>
      <c r="F12" s="19">
        <f>IF(C12="","",IF(AND(C12=35,D12=584750,E12=4855000),"✔ pass","✘ fix"))</f>
        <v/>
      </c>
      <c r="G12" s="8" t="inlineStr">
        <is>
          <t>37 less the blank line and the TOTAL footer</t>
        </is>
      </c>
    </row>
    <row r="13" ht="30" customHeight="1">
      <c r="A13" s="19" t="n">
        <v>6</v>
      </c>
      <c r="B13" s="16" t="inlineStr">
        <is>
          <t>loaded into FactShipment</t>
        </is>
      </c>
      <c r="C13" s="35" t="n">
        <v>34</v>
      </c>
      <c r="D13" s="35" t="n">
        <v>578650</v>
      </c>
      <c r="E13" s="35" t="n">
        <v>4808000</v>
      </c>
      <c r="F13" s="19">
        <f>IF(C13="","",IF(AND(C13=34,D13=578650,E13=4808000),"✔ pass","✘ fix"))</f>
        <v/>
      </c>
      <c r="G13" s="8" t="inlineStr">
        <is>
          <t>after duplicate RD-505 is removed on T9</t>
        </is>
      </c>
    </row>
    <row r="14">
      <c r="B14" s="36" t="inlineStr">
        <is>
          <t>CHECKS PASSING</t>
        </is>
      </c>
      <c r="C14" s="6">
        <f>COUNTIF(F8:F13,"✔ pass")</f>
        <v/>
      </c>
      <c r="D14" s="6" t="inlineStr">
        <is>
          <t>of 6</t>
        </is>
      </c>
      <c r="E14" s="19">
        <f>IF(COUNTA(C8:E13)=0,"",IF(COUNTIF(F8:F13,"✔ pass")=6,"✔ pass","✘ fix"))</f>
        <v/>
      </c>
    </row>
    <row r="15" ht="34" customHeight="1">
      <c r="A15" s="18" t="inlineStr">
        <is>
          <t>Row 3 is the one that catches people: fifteen rows land from the road file and thirteen survive. The blank line and the TOTAL footer both go, and the road subtotal of 83,000 kg still has the duplicate RD-505 inside it — which is why rung 3 and rung 6 disagree by 6,100 kg and not by nothing.</t>
        </is>
      </c>
    </row>
    <row r="16"/>
    <row r="17" ht="22" customHeight="1">
      <c r="A17" s="3" t="inlineStr">
        <is>
          <t>Part B · Read the gap — 9 marks</t>
        </is>
      </c>
    </row>
    <row r="18" ht="42" customHeight="1">
      <c r="A18" s="4" t="inlineStr">
        <is>
          <t>Each symptom below is a real total a student has handed in. Work out the arithmetic that produced it, then name the step that was missing or misplaced. The gap column is the giveaway: a gap of 6,100 is one duplicated road row, a gap of 83,000 is the TOTAL footer, a gap of about 295,000 is the rail conversion.</t>
        </is>
      </c>
    </row>
    <row r="19" ht="32" customHeight="1">
      <c r="A19" s="5" t="inlineStr">
        <is>
          <t>#</t>
        </is>
      </c>
      <c r="B19" s="5" t="inlineStr">
        <is>
          <t>What you see in the card visual</t>
        </is>
      </c>
      <c r="C19" s="5" t="inlineStr">
        <is>
          <t>Rows</t>
        </is>
      </c>
      <c r="D19" s="5" t="inlineStr">
        <is>
          <t>The arithmetic</t>
        </is>
      </c>
      <c r="E19" s="5" t="inlineStr">
        <is>
          <t>Gap vs 578,650</t>
        </is>
      </c>
      <c r="F19" s="5" t="inlineStr">
        <is>
          <t>Step</t>
        </is>
      </c>
      <c r="G19" s="5" t="inlineStr">
        <is>
          <t>The cause, and the fix</t>
        </is>
      </c>
    </row>
    <row r="20" ht="44" customHeight="1">
      <c r="A20" s="19" t="n">
        <v>1</v>
      </c>
      <c r="B20" s="20" t="inlineStr">
        <is>
          <t>SUM(WeightKG) = 283,695.25 kg</t>
        </is>
      </c>
      <c r="C20" s="35" t="n">
        <v>34</v>
      </c>
      <c r="D20" s="37" t="inlineStr">
        <is>
          <t>206,500 + 295.25 (rail tons, unconverted) + 76,900 = 283,695.25</t>
        </is>
      </c>
      <c r="E20" s="29" t="inlineStr">
        <is>
          <t>−294,954.75</t>
        </is>
      </c>
      <c r="F20" s="29" t="inlineStr">
        <is>
          <t>Convert rail tons to kilograms (per source, before append)</t>
        </is>
      </c>
      <c r="G20" s="30" t="inlineStr">
        <is>
          <t>Rail weight was summed as kilograms: the ×1,000 step was missing, or was run after the append, when the frame no longer knows it is rail.</t>
        </is>
      </c>
    </row>
    <row r="21" ht="44" customHeight="1">
      <c r="A21" s="19" t="n">
        <v>2</v>
      </c>
      <c r="B21" s="20" t="inlineStr">
        <is>
          <t>SUM(WeightKG) = 584,750 kg</t>
        </is>
      </c>
      <c r="C21" s="35" t="n">
        <v>35</v>
      </c>
      <c r="D21" s="37" t="inlineStr">
        <is>
          <t>584,750 = appended total; duplicate RD-505 (6,100 kg) still inside</t>
        </is>
      </c>
      <c r="E21" s="29" t="inlineStr">
        <is>
          <t>+6,100</t>
        </is>
      </c>
      <c r="F21" s="29" t="inlineStr">
        <is>
          <t>Remove duplicates (after trim, on the combined table)</t>
        </is>
      </c>
      <c r="G21" s="30" t="inlineStr">
        <is>
          <t>Dedup was missing, or ran before trim on a spaced duplicate — RD-505 counts twice, so the total is one duplicate high.</t>
        </is>
      </c>
    </row>
    <row r="22" ht="44" customHeight="1">
      <c r="A22" s="19" t="n">
        <v>3</v>
      </c>
      <c r="B22" s="20" t="inlineStr">
        <is>
          <t>SUM(WeightKG) = 661,650 kg</t>
        </is>
      </c>
      <c r="C22" s="35" t="n">
        <v>35</v>
      </c>
      <c r="D22" s="37" t="inlineStr">
        <is>
          <t>578,650 + 83,000 (road TOTAL footer kept as a shipment row) = 661,650</t>
        </is>
      </c>
      <c r="E22" s="29" t="inlineStr">
        <is>
          <t>+83,000</t>
        </is>
      </c>
      <c r="F22" s="29" t="inlineStr">
        <is>
          <t>Promote headers; drop junk rows and columns (per source, before append)</t>
        </is>
      </c>
      <c r="G22" s="30" t="inlineStr">
        <is>
          <t>The road TOTAL footer survived as a data row, so the whole road file was counted a second time — the same double-count the Week 2 hand-merged stovepipe produced, where the road sheet was pasted twice.</t>
        </is>
      </c>
    </row>
    <row r="23"/>
    <row r="24" ht="22" customHeight="1">
      <c r="A24" s="3" t="inlineStr">
        <is>
          <t>Two more symptoms, and neither of them moves a total</t>
        </is>
      </c>
    </row>
    <row r="25" ht="48" customHeight="1">
      <c r="B25" s="38" t="inlineStr">
        <is>
          <t>The headers read Column1, Column2, Column3 …</t>
        </is>
      </c>
      <c r="C25" s="33" t="inlineStr">
        <is>
          <t>The promote-headers step is missing, or ran after the header row was skipped: the first data row became the header and Power Query fell back to Column1, Column2, Column3 … Fix: promote row 3 of the rail sheet (row 1 of the CSVs) before any rename — a rename cannot rescue columns that were never named.</t>
        </is>
      </c>
      <c r="D25" s="42" t="n"/>
      <c r="E25" s="42" t="n"/>
      <c r="F25" s="42" t="n"/>
      <c r="G25" s="14" t="n"/>
    </row>
    <row r="26" ht="48" customHeight="1">
      <c r="B26" s="38" t="inlineStr">
        <is>
          <t>FactShipment has 35 rows but both totals are exactly right</t>
        </is>
      </c>
      <c r="C26" s="33" t="inlineStr">
        <is>
          <t>The blank line survived while the duplicate was removed: 34 real shipments plus 1 zero-measure blank row = 35 rows, with both totals exactly right, because the blank row carries 0 kg and PKR 0. That is the entire reason check 5 exists separately from checks 7 and 8: a row count is not a total, and a total cannot see a row that weighs nothing.</t>
        </is>
      </c>
      <c r="D26" s="42" t="n"/>
      <c r="E26" s="42" t="n"/>
      <c r="F26" s="42" t="n"/>
      <c r="G26" s="14" t="n"/>
    </row>
  </sheetData>
  <mergeCells count="10">
    <mergeCell ref="A1:G1"/>
    <mergeCell ref="A17:G17"/>
    <mergeCell ref="A18:G18"/>
    <mergeCell ref="A6:G6"/>
    <mergeCell ref="A4:G4"/>
    <mergeCell ref="C25:G25"/>
    <mergeCell ref="A24:G24"/>
    <mergeCell ref="A2:G2"/>
    <mergeCell ref="A15:G15"/>
    <mergeCell ref="C26:G26"/>
  </mergeCells>
  <dataValidations count="1">
    <dataValidation sqref="F20:F22" showDropDown="0" showInputMessage="0" showErrorMessage="0" allowBlank="0" type="list">
      <formula1>"E1,E2,E3,T1,T2,T3,T4,T5,T6,T7,T8,T9,T10,L1,L2,L3,L4"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showGridLines="0" workbookViewId="0">
      <selection activeCell="A1" sqref="A1"/>
    </sheetView>
  </sheetViews>
  <sheetFormatPr baseColWidth="8" defaultRowHeight="15"/>
  <cols>
    <col width="5" customWidth="1" min="1" max="1"/>
    <col width="16" customWidth="1" min="2" max="2"/>
    <col width="18" customWidth="1" min="3" max="3"/>
    <col width="18" customWidth="1" min="4" max="4"/>
    <col width="16" customWidth="1" min="5" max="5"/>
    <col width="12" customWidth="1" min="6" max="6"/>
    <col width="48" customWidth="1" min="7" max="7"/>
  </cols>
  <sheetData>
    <row r="1" ht="30" customHeight="1">
      <c r="A1" s="1" t="inlineStr">
        <is>
          <t>T5 · The Locale Trap — 12 marks</t>
        </is>
      </c>
    </row>
    <row r="2" ht="30" customHeight="1">
      <c r="A2" s="2" t="inlineStr">
        <is>
          <t>Twelve date strings from the marine file, read two ways. This is the only defect of the ten that produces a plausible, confidently wrong answer with no error message anywhere — and both reconciliation totals pass it perfectly.</t>
        </is>
      </c>
    </row>
    <row r="3"/>
    <row r="4" ht="54" customHeight="1">
      <c r="A4" s="4" t="inlineStr">
        <is>
          <t>Your marine file writes dates as 01/02/2026, meaning the first of February. On a machine set to United States regional settings, Power Query reads that as the second of January. Fill in both columns for all twelve strings, then classify each row. Correct = the two readings agree. Wrong month = they do not. Error = en-US cannot read it at all.</t>
        </is>
      </c>
    </row>
    <row r="5"/>
    <row r="6" ht="32" customHeight="1">
      <c r="A6" s="5" t="inlineStr">
        <is>
          <t>#</t>
        </is>
      </c>
      <c r="B6" s="5" t="inlineStr">
        <is>
          <t>The raw string</t>
        </is>
      </c>
      <c r="C6" s="5" t="inlineStr">
        <is>
          <t>en-GB · dd/MM/yyyy</t>
        </is>
      </c>
      <c r="D6" s="5" t="inlineStr">
        <is>
          <t>en-US · MM/dd/yyyy</t>
        </is>
      </c>
      <c r="E6" s="5" t="inlineStr">
        <is>
          <t>Verdict</t>
        </is>
      </c>
      <c r="F6" s="5" t="inlineStr">
        <is>
          <t>Month (US)</t>
        </is>
      </c>
      <c r="G6" s="5" t="inlineStr">
        <is>
          <t>Why this row behaves the way it does</t>
        </is>
      </c>
    </row>
    <row r="7" ht="24" customHeight="1">
      <c r="A7" s="19" t="n">
        <v>1</v>
      </c>
      <c r="B7" s="39" t="inlineStr">
        <is>
          <t>01/02/2026</t>
        </is>
      </c>
      <c r="C7" s="29" t="inlineStr">
        <is>
          <t>1 Feb 2026</t>
        </is>
      </c>
      <c r="D7" s="29" t="inlineStr">
        <is>
          <t>2 Jan 2026</t>
        </is>
      </c>
      <c r="E7" s="29" t="inlineStr">
        <is>
          <t>Wrong month</t>
        </is>
      </c>
      <c r="F7" s="29" t="inlineStr">
        <is>
          <t>January</t>
        </is>
      </c>
      <c r="G7" s="30" t="inlineStr">
        <is>
          <t>Day 01 ≤ 12, so en-US reads it as month 01.</t>
        </is>
      </c>
    </row>
    <row r="8" ht="24" customHeight="1">
      <c r="A8" s="19" t="n">
        <v>2</v>
      </c>
      <c r="B8" s="39" t="inlineStr">
        <is>
          <t>02/02/2026</t>
        </is>
      </c>
      <c r="C8" s="29" t="inlineStr">
        <is>
          <t>2 Feb 2026</t>
        </is>
      </c>
      <c r="D8" s="29" t="inlineStr">
        <is>
          <t>2 Feb 2026</t>
        </is>
      </c>
      <c r="E8" s="29" t="inlineStr">
        <is>
          <t>Right by luck</t>
        </is>
      </c>
      <c r="F8" s="29" t="inlineStr">
        <is>
          <t>February</t>
        </is>
      </c>
      <c r="G8" s="30" t="inlineStr">
        <is>
          <t>Day = month = 02, so the swap is invisible.</t>
        </is>
      </c>
    </row>
    <row r="9" ht="24" customHeight="1">
      <c r="A9" s="19" t="n">
        <v>3</v>
      </c>
      <c r="B9" s="39" t="inlineStr">
        <is>
          <t>03/02/2026</t>
        </is>
      </c>
      <c r="C9" s="29" t="inlineStr">
        <is>
          <t>3 Feb 2026</t>
        </is>
      </c>
      <c r="D9" s="29" t="inlineStr">
        <is>
          <t>2 Mar 2026</t>
        </is>
      </c>
      <c r="E9" s="29" t="inlineStr">
        <is>
          <t>Wrong month</t>
        </is>
      </c>
      <c r="F9" s="29" t="inlineStr">
        <is>
          <t>March</t>
        </is>
      </c>
      <c r="G9" s="30" t="inlineStr">
        <is>
          <t>Day 03 ≤ 12, so en-US reads it as month 03.</t>
        </is>
      </c>
    </row>
    <row r="10" ht="24" customHeight="1">
      <c r="A10" s="19" t="n">
        <v>4</v>
      </c>
      <c r="B10" s="39" t="inlineStr">
        <is>
          <t>04/02/2026</t>
        </is>
      </c>
      <c r="C10" s="29" t="inlineStr">
        <is>
          <t>4 Feb 2026</t>
        </is>
      </c>
      <c r="D10" s="29" t="inlineStr">
        <is>
          <t>2 Apr 2026</t>
        </is>
      </c>
      <c r="E10" s="29" t="inlineStr">
        <is>
          <t>Wrong month</t>
        </is>
      </c>
      <c r="F10" s="29" t="inlineStr">
        <is>
          <t>April</t>
        </is>
      </c>
      <c r="G10" s="30" t="inlineStr">
        <is>
          <t>Day 04 ≤ 12, so en-US reads it as month 04.</t>
        </is>
      </c>
    </row>
    <row r="11" ht="24" customHeight="1">
      <c r="A11" s="19" t="n">
        <v>5</v>
      </c>
      <c r="B11" s="39" t="inlineStr">
        <is>
          <t>05/02/2026</t>
        </is>
      </c>
      <c r="C11" s="29" t="inlineStr">
        <is>
          <t>5 Feb 2026</t>
        </is>
      </c>
      <c r="D11" s="29" t="inlineStr">
        <is>
          <t>2 May 2026</t>
        </is>
      </c>
      <c r="E11" s="29" t="inlineStr">
        <is>
          <t>Wrong month</t>
        </is>
      </c>
      <c r="F11" s="29" t="inlineStr">
        <is>
          <t>May</t>
        </is>
      </c>
      <c r="G11" s="30" t="inlineStr">
        <is>
          <t>Day 05 ≤ 12, so en-US reads it as month 05.</t>
        </is>
      </c>
    </row>
    <row r="12" ht="24" customHeight="1">
      <c r="A12" s="19" t="n">
        <v>6</v>
      </c>
      <c r="B12" s="39" t="inlineStr">
        <is>
          <t>06/02/2026</t>
        </is>
      </c>
      <c r="C12" s="29" t="inlineStr">
        <is>
          <t>6 Feb 2026</t>
        </is>
      </c>
      <c r="D12" s="29" t="inlineStr">
        <is>
          <t>2 Jun 2026</t>
        </is>
      </c>
      <c r="E12" s="29" t="inlineStr">
        <is>
          <t>Wrong month</t>
        </is>
      </c>
      <c r="F12" s="29" t="inlineStr">
        <is>
          <t>June</t>
        </is>
      </c>
      <c r="G12" s="30" t="inlineStr">
        <is>
          <t>Day 06 ≤ 12, so en-US reads it as month 06.</t>
        </is>
      </c>
    </row>
    <row r="13" ht="24" customHeight="1">
      <c r="A13" s="19" t="n">
        <v>7</v>
      </c>
      <c r="B13" s="39" t="inlineStr">
        <is>
          <t>07/02/2026</t>
        </is>
      </c>
      <c r="C13" s="29" t="inlineStr">
        <is>
          <t>7 Feb 2026</t>
        </is>
      </c>
      <c r="D13" s="29" t="inlineStr">
        <is>
          <t>2 Jul 2026</t>
        </is>
      </c>
      <c r="E13" s="29" t="inlineStr">
        <is>
          <t>Wrong month</t>
        </is>
      </c>
      <c r="F13" s="29" t="inlineStr">
        <is>
          <t>July</t>
        </is>
      </c>
      <c r="G13" s="30" t="inlineStr">
        <is>
          <t>Day 07 ≤ 12, so en-US reads it as month 07.</t>
        </is>
      </c>
    </row>
    <row r="14" ht="24" customHeight="1">
      <c r="A14" s="19" t="n">
        <v>8</v>
      </c>
      <c r="B14" s="39" t="inlineStr">
        <is>
          <t>09/02/2026</t>
        </is>
      </c>
      <c r="C14" s="29" t="inlineStr">
        <is>
          <t>9 Feb 2026</t>
        </is>
      </c>
      <c r="D14" s="29" t="inlineStr">
        <is>
          <t>2 Sep 2026</t>
        </is>
      </c>
      <c r="E14" s="29" t="inlineStr">
        <is>
          <t>Wrong month</t>
        </is>
      </c>
      <c r="F14" s="29" t="inlineStr">
        <is>
          <t>September</t>
        </is>
      </c>
      <c r="G14" s="30" t="inlineStr">
        <is>
          <t>Day 09 ≤ 12, so en-US reads it as month 09.</t>
        </is>
      </c>
    </row>
    <row r="15" ht="24" customHeight="1">
      <c r="A15" s="19" t="n">
        <v>9</v>
      </c>
      <c r="B15" s="39" t="inlineStr">
        <is>
          <t>10/02/2026</t>
        </is>
      </c>
      <c r="C15" s="29" t="inlineStr">
        <is>
          <t>10 Feb 2026</t>
        </is>
      </c>
      <c r="D15" s="29" t="inlineStr">
        <is>
          <t>2 Oct 2026</t>
        </is>
      </c>
      <c r="E15" s="29" t="inlineStr">
        <is>
          <t>Wrong month</t>
        </is>
      </c>
      <c r="F15" s="29" t="inlineStr">
        <is>
          <t>October</t>
        </is>
      </c>
      <c r="G15" s="30" t="inlineStr">
        <is>
          <t>Day 10 ≤ 12, so en-US reads it as month 10.</t>
        </is>
      </c>
    </row>
    <row r="16" ht="24" customHeight="1">
      <c r="A16" s="19" t="n">
        <v>10</v>
      </c>
      <c r="B16" s="39" t="inlineStr">
        <is>
          <t>11/02/2026</t>
        </is>
      </c>
      <c r="C16" s="29" t="inlineStr">
        <is>
          <t>11 Feb 2026</t>
        </is>
      </c>
      <c r="D16" s="29" t="inlineStr">
        <is>
          <t>2 Nov 2026</t>
        </is>
      </c>
      <c r="E16" s="29" t="inlineStr">
        <is>
          <t>Wrong month</t>
        </is>
      </c>
      <c r="F16" s="29" t="inlineStr">
        <is>
          <t>November</t>
        </is>
      </c>
      <c r="G16" s="30" t="inlineStr">
        <is>
          <t>Day 11 ≤ 12, so en-US reads it as month 11.</t>
        </is>
      </c>
    </row>
    <row r="17" ht="24" customHeight="1">
      <c r="A17" s="19" t="n">
        <v>11</v>
      </c>
      <c r="B17" s="39" t="inlineStr">
        <is>
          <t>12/02/2026</t>
        </is>
      </c>
      <c r="C17" s="29" t="inlineStr">
        <is>
          <t>12 Feb 2026</t>
        </is>
      </c>
      <c r="D17" s="29" t="inlineStr">
        <is>
          <t>2 Dec 2026</t>
        </is>
      </c>
      <c r="E17" s="29" t="inlineStr">
        <is>
          <t>Wrong month</t>
        </is>
      </c>
      <c r="F17" s="29" t="inlineStr">
        <is>
          <t>December</t>
        </is>
      </c>
      <c r="G17" s="30" t="inlineStr">
        <is>
          <t>Day 12 ≤ 12, so en-US reads it as month 12.</t>
        </is>
      </c>
    </row>
    <row r="18" ht="24" customHeight="1">
      <c r="A18" s="19" t="n">
        <v>12</v>
      </c>
      <c r="B18" s="39" t="inlineStr">
        <is>
          <t>13/02/2026</t>
        </is>
      </c>
      <c r="C18" s="29" t="inlineStr">
        <is>
          <t>13 Feb 2026</t>
        </is>
      </c>
      <c r="D18" s="29" t="inlineStr">
        <is>
          <t>Error</t>
        </is>
      </c>
      <c r="E18" s="29" t="inlineStr">
        <is>
          <t>Error</t>
        </is>
      </c>
      <c r="F18" s="29" t="inlineStr">
        <is>
          <t>Error</t>
        </is>
      </c>
      <c r="G18" s="30" t="inlineStr">
        <is>
          <t>Month 13 does not exist — the single loud error that makes the bug findable at all.</t>
        </is>
      </c>
    </row>
    <row r="19"/>
    <row r="20" ht="22" customHeight="1">
      <c r="A20" s="3" t="inlineStr">
        <is>
          <t>Self-check — five counts</t>
        </is>
      </c>
    </row>
    <row r="21">
      <c r="B21" s="27" t="inlineStr">
        <is>
          <t>Rows that land in the wrong month</t>
        </is>
      </c>
      <c r="C21" s="14" t="n"/>
      <c r="D21" s="31">
        <f>COUNTIF(E7:E18,"Wrong month")</f>
        <v/>
      </c>
      <c r="E21" s="19">
        <f>IF(COUNTA(C7:F18)=0,"",IF(COUNTIF(E7:E18,"Wrong month")=10,"✔ pass","✘ fix"))</f>
        <v/>
      </c>
      <c r="F21" s="8" t="inlineStr">
        <is>
          <t>ten of the twelve, and not one of them errors</t>
        </is>
      </c>
      <c r="G21" s="14" t="n"/>
    </row>
    <row r="22">
      <c r="B22" s="27" t="inlineStr">
        <is>
          <t>Rows that are right by accident</t>
        </is>
      </c>
      <c r="C22" s="14" t="n"/>
      <c r="D22" s="31">
        <f>COUNTIF(E7:E18,"Right by luck")</f>
        <v/>
      </c>
      <c r="E22" s="19">
        <f>IF(COUNTA(C7:F18)=0,"",IF(COUNTIF(E7:E18,"Right by luck")=1,"✔ pass","✘ fix"))</f>
        <v/>
      </c>
      <c r="F22" s="8" t="inlineStr">
        <is>
          <t>02/02/2026 — day and month are the same number</t>
        </is>
      </c>
      <c r="G22" s="14" t="n"/>
    </row>
    <row r="23">
      <c r="B23" s="27" t="inlineStr">
        <is>
          <t>Rows that raise an error</t>
        </is>
      </c>
      <c r="C23" s="14" t="n"/>
      <c r="D23" s="31">
        <f>COUNTIF(E7:E18,"Error")</f>
        <v/>
      </c>
      <c r="E23" s="19">
        <f>IF(COUNTA(C7:F18)=0,"",IF(COUNTIF(E7:E18,"Error")=1,"✔ pass","✘ fix"))</f>
        <v/>
      </c>
      <c r="F23" s="8" t="inlineStr">
        <is>
          <t>13/02/2026 — and this one error is what makes the bug findable at all</t>
        </is>
      </c>
      <c r="G23" s="14" t="n"/>
    </row>
    <row r="24">
      <c r="B24" s="27" t="inlineStr">
        <is>
          <t>Rows whose en-US month is February after all</t>
        </is>
      </c>
      <c r="C24" s="14" t="n"/>
      <c r="D24" s="31">
        <f>COUNTIF(F7:F18,"February")</f>
        <v/>
      </c>
      <c r="E24" s="19">
        <f>IF(COUNTA(C7:F18)=0,"",IF(COUNTIF(F7:F18,"February")=1,"✔ pass","✘ fix"))</f>
        <v/>
      </c>
      <c r="F24" s="8" t="inlineStr">
        <is>
          <t>exactly the one lucky row — this cross-checks column F against your verdicts in column E</t>
        </is>
      </c>
      <c r="G24" s="14" t="n"/>
    </row>
    <row r="25">
      <c r="B25" s="27" t="inlineStr">
        <is>
          <t>Rows en-US can read at all — the twelfth errors</t>
        </is>
      </c>
      <c r="C25" s="14" t="n"/>
      <c r="D25" s="31">
        <f>COUNTA(F7:F18)-COUNTIF(F7:F18,"Error")</f>
        <v/>
      </c>
      <c r="E25" s="19">
        <f>IF(COUNTA(C7:F18)=0,"",IF(COUNTA(F7:F18)-COUNTIF(F7:F18,"Error")=11,"✔ pass","✘ fix"))</f>
        <v/>
      </c>
      <c r="F25" s="8" t="inlineStr">
        <is>
          <t>and they land in eleven DIFFERENT months, one row each — January to December with August missing, because nobody shipped on the 8th</t>
        </is>
      </c>
      <c r="G25" s="14" t="n"/>
    </row>
    <row r="26" ht="34" customHeight="1">
      <c r="A26" s="18" t="inlineStr">
        <is>
          <t>Ten wrong, one lucky, one error — and the eleven readable rows spread across 11 different months. The file does not fail, it half-fails, and the single loud error sends you to row 12 while the other ten sit quietly in January, March, April, May and seven other months nobody shipped anything in.</t>
        </is>
      </c>
    </row>
    <row r="27"/>
    <row r="28" ht="22" customHeight="1">
      <c r="A28" s="3" t="inlineStr">
        <is>
          <t>Three answers — 6 of the 12 marks</t>
        </is>
      </c>
    </row>
    <row r="29">
      <c r="B29" s="32" t="inlineStr">
        <is>
          <t>Which of the three files is exposed to this, and how many loaded rows does that put at risk?</t>
        </is>
      </c>
      <c r="C29" s="25" t="n"/>
      <c r="D29" s="42" t="n"/>
      <c r="E29" s="42" t="n"/>
      <c r="F29" s="42" t="n"/>
      <c r="G29" s="14" t="n"/>
    </row>
    <row r="30" ht="28" customHeight="1">
      <c r="B30" s="33" t="inlineStr">
        <is>
          <t>Only the marine file is exposed, and it puts all 12 of its loaded rows at risk — its dates are dd/MM/yyyy text, so a US-locale read swaps day and month on every one of them. Rail is not exposed because its dates are real Excel dates, already typed: a typed date has no text to reinterpret, so locale cannot move it. Road is not exposed because its dates are ISO yyyy-MM-dd text: the year-first order cannot be swapped by a month-first reading, so the same misreading lands on the same date. Two different reasons, same result: only marine can be bitten.</t>
        </is>
      </c>
      <c r="C30" s="43" t="n"/>
      <c r="D30" s="43" t="n"/>
      <c r="E30" s="43" t="n"/>
      <c r="F30" s="43" t="n"/>
      <c r="G30" s="44" t="n"/>
    </row>
    <row r="31">
      <c r="B31" s="45" t="n"/>
      <c r="G31" s="46" t="n"/>
    </row>
    <row r="32">
      <c r="B32" s="47" t="n"/>
      <c r="C32" s="48" t="n"/>
      <c r="D32" s="48" t="n"/>
      <c r="E32" s="48" t="n"/>
      <c r="F32" s="48" t="n"/>
      <c r="G32" s="49" t="n"/>
    </row>
    <row r="33">
      <c r="B33" s="32" t="inlineStr">
        <is>
          <t>Both reconciliation totals are exact and every monthly report is still wrong. Explain why the totals cannot catch this.</t>
        </is>
      </c>
      <c r="C33" s="25" t="n"/>
      <c r="D33" s="42" t="n"/>
      <c r="E33" s="42" t="n"/>
      <c r="F33" s="42" t="n"/>
      <c r="G33" s="14" t="n"/>
    </row>
    <row r="34" ht="28" customHeight="1">
      <c r="B34" s="33" t="inlineStr">
        <is>
          <t>The totals cannot catch it because SUM(WeightKG) and SUM(FreightCostPKR) do not involve ShipDate at all. The locale bug moves rows between months without touching any measure: every kilogram and every rupee still adds up, so reconciliation passes to the rupee while every monthly report is wrong. A check can only catch a defect it looks at, and the two famous totals never look at a date — which is why checks 1 to 4 come before checks 7 and 8, and why a pipeline that reconciles is not the same as a pipeline that is right.</t>
        </is>
      </c>
      <c r="C34" s="43" t="n"/>
      <c r="D34" s="43" t="n"/>
      <c r="E34" s="43" t="n"/>
      <c r="F34" s="43" t="n"/>
      <c r="G34" s="44" t="n"/>
    </row>
    <row r="35">
      <c r="B35" s="45" t="n"/>
      <c r="G35" s="46" t="n"/>
    </row>
    <row r="36">
      <c r="B36" s="47" t="n"/>
      <c r="C36" s="48" t="n"/>
      <c r="D36" s="48" t="n"/>
      <c r="E36" s="48" t="n"/>
      <c r="F36" s="48" t="n"/>
      <c r="G36" s="49" t="n"/>
    </row>
    <row r="37">
      <c r="B37" s="32" t="inlineStr">
        <is>
          <t>Name the single click that prevents it, and the check from slide 41 that catches it if you forget.</t>
        </is>
      </c>
      <c r="C37" s="25" t="n"/>
      <c r="D37" s="42" t="n"/>
      <c r="E37" s="42" t="n"/>
      <c r="F37" s="42" t="n"/>
      <c r="G37" s="14" t="n"/>
    </row>
    <row r="38" ht="28" customHeight="1">
      <c r="B38" s="33" t="inlineStr">
        <is>
          <t>The single click that prevents it is Change Type Using Locale, English (United Kingdom) — never plain Change Type. In Python the equivalent is stating the format explicitly, format="%d/%m/%Y"; a bare pd.to_datetime guesses month-first and makes the exact same mistake. The check that catches it if you forget is T7 check 4 (latest ShipDate day = 13 February 2026), backed by the month-list check: a US reading spreads the eleven readable rows over eleven different months with August missing and a January spike, while the correct GB reading puts all twelve rows in February.</t>
        </is>
      </c>
      <c r="C38" s="43" t="n"/>
      <c r="D38" s="43" t="n"/>
      <c r="E38" s="43" t="n"/>
      <c r="F38" s="43" t="n"/>
      <c r="G38" s="44" t="n"/>
    </row>
    <row r="39">
      <c r="B39" s="45" t="n"/>
      <c r="G39" s="46" t="n"/>
    </row>
    <row r="40">
      <c r="B40" s="45" t="n"/>
      <c r="G40" s="46" t="n"/>
    </row>
    <row r="41">
      <c r="B41" s="47" t="n"/>
      <c r="C41" s="48" t="n"/>
      <c r="D41" s="48" t="n"/>
      <c r="E41" s="48" t="n"/>
      <c r="F41" s="48" t="n"/>
      <c r="G41" s="49" t="n"/>
    </row>
  </sheetData>
  <mergeCells count="22">
    <mergeCell ref="B25:C25"/>
    <mergeCell ref="F25:G25"/>
    <mergeCell ref="C33:G33"/>
    <mergeCell ref="A4:G4"/>
    <mergeCell ref="A20:G20"/>
    <mergeCell ref="B22:C22"/>
    <mergeCell ref="A28:G28"/>
    <mergeCell ref="F21:G21"/>
    <mergeCell ref="C29:G29"/>
    <mergeCell ref="B21:C21"/>
    <mergeCell ref="F24:G24"/>
    <mergeCell ref="B23:C23"/>
    <mergeCell ref="B34:G36"/>
    <mergeCell ref="B30:G32"/>
    <mergeCell ref="A1:G1"/>
    <mergeCell ref="F23:G23"/>
    <mergeCell ref="F22:G22"/>
    <mergeCell ref="B38:G41"/>
    <mergeCell ref="B24:C24"/>
    <mergeCell ref="A26:G26"/>
    <mergeCell ref="A2:G2"/>
    <mergeCell ref="C37:G37"/>
  </mergeCells>
  <dataValidations count="1">
    <dataValidation sqref="E7:E18" showDropDown="0" showInputMessage="0" showErrorMessage="0" allowBlank="0" type="list">
      <formula1>"Right by luck,Wrong month,Error"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5" customWidth="1" min="1" max="1"/>
    <col width="54" customWidth="1" min="2" max="2"/>
    <col width="14" customWidth="1" min="3" max="3"/>
    <col width="22" customWidth="1" min="4" max="4"/>
    <col width="56" customWidth="1" min="5" max="5"/>
    <col width="10" customWidth="1" min="6" max="6"/>
    <col width="10" customWidth="1" min="7" max="7"/>
  </cols>
  <sheetData>
    <row r="1" ht="30" customHeight="1">
      <c r="A1" s="1" t="inlineStr">
        <is>
          <t>T6 · Loud Or Quiet — 12 marks</t>
        </is>
      </c>
    </row>
    <row r="2" ht="30" customHeight="1">
      <c r="A2" s="2" t="inlineStr">
        <is>
          <t>Six failures. For each: does it fail loudly or quietly, which of the eight checks would catch it, and what makes it safe. One mark for the classification, one for the check.</t>
        </is>
      </c>
    </row>
    <row r="3"/>
    <row r="4" ht="84" customHeight="1">
      <c r="A4" s="4" t="inlineStr">
        <is>
          <t>A loud failure stops the run: a job goes red, somebody is paged, the warehouse is unchanged, and the 08:00 report shows yesterday's number with a stale-as-of stamp on it. Embarrassing, bounded, fixable before anyone trades on it.
A quiet failure succeeds. Eleven rows went to Unknown, one region is missing, the dates landed in the wrong month, and the dashboard is green. Nobody finds out until a quarter closes.
You want the loud one — that part is obvious. The part that is not is the last question on this sheet.</t>
        </is>
      </c>
    </row>
    <row r="5"/>
    <row r="6" ht="32" customHeight="1">
      <c r="A6" s="5" t="inlineStr">
        <is>
          <t>#</t>
        </is>
      </c>
      <c r="B6" s="5" t="inlineStr">
        <is>
          <t>The accident, or the defect</t>
        </is>
      </c>
      <c r="C6" s="5" t="inlineStr">
        <is>
          <t>Loud or quiet</t>
        </is>
      </c>
      <c r="D6" s="5" t="inlineStr">
        <is>
          <t>Which check catches it</t>
        </is>
      </c>
      <c r="E6" s="5" t="inlineStr">
        <is>
          <t>What makes it safe</t>
        </is>
      </c>
      <c r="F6" s="5" t="inlineStr"/>
      <c r="G6" s="5" t="inlineStr"/>
    </row>
    <row r="7" ht="44" customHeight="1">
      <c r="A7" s="19" t="n">
        <v>1</v>
      </c>
      <c r="B7" s="16" t="inlineStr">
        <is>
          <t>The nightly run never fired on Tuesday</t>
        </is>
      </c>
      <c r="C7" s="29" t="inlineStr">
        <is>
          <t>Quiet</t>
        </is>
      </c>
      <c r="D7" s="33" t="inlineStr">
        <is>
          <t>Check 5 (row count, against the extract log) — but only if someone looks</t>
        </is>
      </c>
      <c r="E7" s="33" t="inlineStr">
        <is>
          <t>Schedule monitor plus a stale-as-of stamp on the report, so yesterday's number is never presented as today's.</t>
        </is>
      </c>
    </row>
    <row r="8" ht="44" customHeight="1">
      <c r="A8" s="19" t="n">
        <v>2</v>
      </c>
      <c r="B8" s="16" t="inlineStr">
        <is>
          <t>The same run fired twice, loading with a bare insert</t>
        </is>
      </c>
      <c r="C8" s="29" t="inlineStr">
        <is>
          <t>Both</t>
        </is>
      </c>
      <c r="D8" s="33" t="inlineStr">
        <is>
          <t>Check 5 (68 rows instead of 34) and check 7 (the total doubles)</t>
        </is>
      </c>
      <c r="E8" s="33" t="inlineStr">
        <is>
          <t>Keyed load, or truncate-and-reload idempotency — never a bare insert, so a second run replaces the first instead of doubling it. It is loud only if a key constraint exists to error; without one it doubles silently, which is why it is both.</t>
        </is>
      </c>
    </row>
    <row r="9" ht="44" customHeight="1">
      <c r="A9" s="19" t="n">
        <v>3</v>
      </c>
      <c r="B9" s="16" t="inlineStr">
        <is>
          <t>The file was still being written when extract read it</t>
        </is>
      </c>
      <c r="C9" s="29" t="inlineStr">
        <is>
          <t>Quiet</t>
        </is>
      </c>
      <c r="D9" s="33" t="inlineStr">
        <is>
          <t>Check 5 (rows short) against the extract-log count</t>
        </is>
      </c>
      <c r="E9" s="33" t="inlineStr">
        <is>
          <t>A file-ready signal plus a row-count gate against the extract log: extract only reads a file that has finished writing.</t>
        </is>
      </c>
    </row>
    <row r="10" ht="44" customHeight="1">
      <c r="A10" s="19" t="n">
        <v>4</v>
      </c>
      <c r="B10" s="16" t="inlineStr">
        <is>
          <t>Change Type was used instead of Using Locale on the marine dates</t>
        </is>
      </c>
      <c r="C10" s="29" t="inlineStr">
        <is>
          <t>Quiet</t>
        </is>
      </c>
      <c r="D10" s="33" t="inlineStr">
        <is>
          <t>Check 4 (latest ShipDate) and the month list</t>
        </is>
      </c>
      <c r="E10" s="33" t="inlineStr">
        <is>
          <t>Change Type Using Locale, English (United Kingdom) — plus check 4, so a forgotten locale fails the run instead of publishing wrong months.</t>
        </is>
      </c>
    </row>
    <row r="11" ht="44" customHeight="1">
      <c r="A11" s="19" t="n">
        <v>5</v>
      </c>
      <c r="B11" s="16" t="inlineStr">
        <is>
          <t>The status column was never trimmed or cased</t>
        </is>
      </c>
      <c r="C11" s="29" t="inlineStr">
        <is>
          <t>Quiet</t>
        </is>
      </c>
      <c r="D11" s="33" t="inlineStr">
        <is>
          <t>Check 3 (distinct StatusRaw = 17, not 3)</t>
        </is>
      </c>
      <c r="E11" s="33" t="inlineStr">
        <is>
          <t>Trim and clean plus Proper Case steps, guarded by check 3, so an untrimmed status fails the run.</t>
        </is>
      </c>
    </row>
    <row r="12" ht="44" customHeight="1">
      <c r="A12" s="19" t="n">
        <v>6</v>
      </c>
      <c r="B12" s="16" t="inlineStr">
        <is>
          <t>A later step still names a column an earlier step renamed</t>
        </is>
      </c>
      <c r="C12" s="29" t="inlineStr">
        <is>
          <t>Loud</t>
        </is>
      </c>
      <c r="D12" s="33" t="inlineStr">
        <is>
          <t>No check needed — the run itself fails</t>
        </is>
      </c>
      <c r="E12" s="33" t="inlineStr">
        <is>
          <t>Nothing to do: it is loud by construction. A step naming a renamed column errors outright and the warehouse is left unchanged — the one failure that was already safe.</t>
        </is>
      </c>
    </row>
    <row r="13"/>
    <row r="14" ht="22" customHeight="1">
      <c r="A14" s="3" t="inlineStr">
        <is>
          <t>Self-check</t>
        </is>
      </c>
    </row>
    <row r="15">
      <c r="B15" s="27" t="inlineStr">
        <is>
          <t>Failures that are loud</t>
        </is>
      </c>
      <c r="C15" s="31">
        <f>COUNTIF(C7:C12,"Loud")</f>
        <v/>
      </c>
      <c r="D15" s="19">
        <f>IF(COUNTA(C7:C12)=0,"",IF(COUNTIF(C7:C12,"Loud")=1,"✔ pass","✘ fix"))</f>
        <v/>
      </c>
      <c r="E15" s="14" t="n"/>
    </row>
    <row r="16">
      <c r="B16" s="27" t="inlineStr">
        <is>
          <t>Failures that are quiet</t>
        </is>
      </c>
      <c r="C16" s="31">
        <f>COUNTIF(C7:C12,"Quiet")</f>
        <v/>
      </c>
      <c r="D16" s="19">
        <f>IF(COUNTA(C7:C12)=0,"",IF(COUNTIF(C7:C12,"Quiet")=4,"✔ pass","✘ fix"))</f>
        <v/>
      </c>
      <c r="E16" s="14" t="n"/>
    </row>
    <row r="17">
      <c r="B17" s="27" t="inlineStr">
        <is>
          <t>Failures that are both</t>
        </is>
      </c>
      <c r="C17" s="31">
        <f>COUNTIF(C7:C12,"Both")</f>
        <v/>
      </c>
      <c r="D17" s="19">
        <f>IF(COUNTA(C7:C12)=0,"",IF(COUNTIF(C7:C12,"Both")=1,"✔ pass","✘ fix"))</f>
        <v/>
      </c>
      <c r="E17" s="14" t="n"/>
    </row>
    <row r="18" ht="30" customHeight="1">
      <c r="A18" s="18" t="inlineStr">
        <is>
          <t>Only 1 of the six is loud, and it is the one that cannot be ignored: a step naming a column an earlier step renamed. Notice what that means — the failure you have no work to do about is the only one that was already safe.</t>
        </is>
      </c>
    </row>
    <row r="19"/>
    <row r="20" ht="22" customHeight="1">
      <c r="A20" s="3" t="inlineStr">
        <is>
          <t>The answer that is not the obvious one — 4 of the 12 marks</t>
        </is>
      </c>
    </row>
    <row r="21">
      <c r="B21" s="32" t="inlineStr">
        <is>
          <t>Everybody says they would rather have the loud failure. Say what follows from that about where the engineering effort in a pipeline actually goes.</t>
        </is>
      </c>
      <c r="C21" s="25" t="n"/>
      <c r="D21" s="42" t="n"/>
      <c r="E21" s="42" t="n"/>
      <c r="F21" s="42" t="n"/>
      <c r="G21" s="14" t="n"/>
    </row>
    <row r="22" ht="28" customHeight="1">
      <c r="B22" s="33" t="inlineStr">
        <is>
          <t>Preferring loud failures means the engineering effort goes into CHECKS, not into preventing every defect. You cannot stop a source file arriving half-written, a scheduler skipping a night, or a status typed with two spaces — but you can put an assertion on row counts, totals, distinct values and -1 counts at every stage boundary, so a quiet corruption becomes a failed run instead of a published dashboard. Effort goes to making failure visible — reconcile-or-fail, the extract log, the stale-as-of stamp — rather than to polishing a dashboard that is green while wrong. A pipeline that never fails is not reliable; it is unmonitored.</t>
        </is>
      </c>
      <c r="C22" s="43" t="n"/>
      <c r="D22" s="43" t="n"/>
      <c r="E22" s="43" t="n"/>
      <c r="F22" s="43" t="n"/>
      <c r="G22" s="44" t="n"/>
    </row>
    <row r="23">
      <c r="B23" s="45" t="n"/>
      <c r="G23" s="46" t="n"/>
    </row>
    <row r="24">
      <c r="B24" s="45" t="n"/>
      <c r="G24" s="46" t="n"/>
    </row>
    <row r="25">
      <c r="B25" s="47" t="n"/>
      <c r="C25" s="48" t="n"/>
      <c r="D25" s="48" t="n"/>
      <c r="E25" s="48" t="n"/>
      <c r="F25" s="48" t="n"/>
      <c r="G25" s="49" t="n"/>
    </row>
  </sheetData>
  <mergeCells count="11">
    <mergeCell ref="A14:G14"/>
    <mergeCell ref="C21:G21"/>
    <mergeCell ref="D16:E16"/>
    <mergeCell ref="A1:G1"/>
    <mergeCell ref="A18:G18"/>
    <mergeCell ref="D15:E15"/>
    <mergeCell ref="A4:G4"/>
    <mergeCell ref="B22:G25"/>
    <mergeCell ref="A20:G20"/>
    <mergeCell ref="A2:G2"/>
    <mergeCell ref="D17:E17"/>
  </mergeCells>
  <dataValidations count="1">
    <dataValidation sqref="C7:C12" showDropDown="0" showInputMessage="0" showErrorMessage="0" allowBlank="0" type="list">
      <formula1>"Loud,Quiet,Both"</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5"/>
  <cols>
    <col width="5" customWidth="1" min="1" max="1"/>
    <col width="44" customWidth="1" min="2" max="2"/>
    <col width="15" customWidth="1" min="3" max="3"/>
    <col width="13" customWidth="1" min="4" max="4"/>
    <col width="11" customWidth="1" min="5" max="5"/>
    <col width="34" customWidth="1" min="6" max="6"/>
    <col width="38" customWidth="1" min="7" max="7"/>
  </cols>
  <sheetData>
    <row r="1" ht="30" customHeight="1">
      <c r="A1" s="1" t="inlineStr">
        <is>
          <t>T7 · Definition Of Done — 12 marks</t>
        </is>
      </c>
    </row>
    <row r="2" ht="30" customHeight="1">
      <c r="A2" s="2" t="inlineStr">
        <is>
          <t>Eight checks. Refresh your model, read each number off it, and type it in. All eight must read “pass”. Submitting with a single “✘ fix” loses all 12 marks for this task.</t>
        </is>
      </c>
    </row>
    <row r="3"/>
    <row r="4" ht="58" customHeight="1">
      <c r="A4" s="4" t="inlineStr">
        <is>
          <t>Checks 1 to 4 catch the defects that reconciliation cannot see. Checks 5 to 8 catch the ones it can. You need both halves, and checks 7 and 8 are the two weakest on the sheet — a locale bug and a status casing bug both pass them perfectly.
Work them in order. If 7 fails, fix 2 and 5 first; they cause it.</t>
        </is>
      </c>
    </row>
    <row r="5"/>
    <row r="6" ht="32" customHeight="1">
      <c r="A6" s="5" t="inlineStr">
        <is>
          <t>#</t>
        </is>
      </c>
      <c r="B6" s="5" t="inlineStr">
        <is>
          <t>The check</t>
        </is>
      </c>
      <c r="C6" s="5" t="inlineStr">
        <is>
          <t>Your model reads</t>
        </is>
      </c>
      <c r="D6" s="5" t="inlineStr">
        <is>
          <t>Expected</t>
        </is>
      </c>
      <c r="E6" s="5" t="inlineStr">
        <is>
          <t>Pass?</t>
        </is>
      </c>
      <c r="F6" s="5" t="inlineStr">
        <is>
          <t>How you verify it</t>
        </is>
      </c>
      <c r="G6" s="5" t="inlineStr">
        <is>
          <t>If it fails</t>
        </is>
      </c>
    </row>
    <row r="7" ht="30" customHeight="1">
      <c r="A7" s="19" t="n">
        <v>1</v>
      </c>
      <c r="B7" s="16" t="inlineStr">
        <is>
          <t>Contract columns in each of the three queries</t>
        </is>
      </c>
      <c r="C7" s="35" t="n">
        <v>7</v>
      </c>
      <c r="D7" s="40" t="n">
        <v>7</v>
      </c>
      <c r="E7" s="19">
        <f>IF(C7="","",IF(C7=D7,"✔ pass","✘ fix"))</f>
        <v/>
      </c>
      <c r="F7" s="8" t="inlineStr">
        <is>
          <t>read the column headers in each query</t>
        </is>
      </c>
      <c r="G7" s="8" t="inlineStr">
        <is>
          <t>a missed rename — the append would carry the damage</t>
        </is>
      </c>
    </row>
    <row r="8" ht="30" customHeight="1">
      <c r="A8" s="19" t="n">
        <v>2</v>
      </c>
      <c r="B8" s="16" t="inlineStr">
        <is>
          <t>Rail subtotal in kilograms</t>
        </is>
      </c>
      <c r="C8" s="35" t="n">
        <v>295250</v>
      </c>
      <c r="D8" s="40" t="n">
        <v>295250</v>
      </c>
      <c r="E8" s="19">
        <f>IF(C8="","",IF(C8=D8,"✔ pass","✘ fix"))</f>
        <v/>
      </c>
      <c r="F8" s="8" t="inlineStr">
        <is>
          <t>filter ModeKey = 2, read SUM(WeightKG)</t>
        </is>
      </c>
      <c r="G8" s="8" t="inlineStr">
        <is>
          <t>the x1,000 step missing, or run after the append</t>
        </is>
      </c>
    </row>
    <row r="9" ht="30" customHeight="1">
      <c r="A9" s="19" t="n">
        <v>3</v>
      </c>
      <c r="B9" s="16" t="inlineStr">
        <is>
          <t>Distinct values in StatusRaw</t>
        </is>
      </c>
      <c r="C9" s="35" t="n">
        <v>3</v>
      </c>
      <c r="D9" s="40" t="n">
        <v>3</v>
      </c>
      <c r="E9" s="19">
        <f>IF(C9="","",IF(C9=D9,"✔ pass","✘ fix"))</f>
        <v/>
      </c>
      <c r="F9" s="8" t="inlineStr">
        <is>
          <t>put it in a slicer and count the entries</t>
        </is>
      </c>
      <c r="G9" s="8" t="inlineStr">
        <is>
          <t>trim, clean or Proper Case missing</t>
        </is>
      </c>
    </row>
    <row r="10" ht="30" customHeight="1">
      <c r="A10" s="19" t="n">
        <v>4</v>
      </c>
      <c r="B10" s="16" t="inlineStr">
        <is>
          <t>Latest day in ShipDate (day of February 2026)</t>
        </is>
      </c>
      <c r="C10" s="35" t="n">
        <v>13</v>
      </c>
      <c r="D10" s="40" t="n">
        <v>13</v>
      </c>
      <c r="E10" s="19">
        <f>IF(C10="","",IF(C10=D10,"✔ pass","✘ fix"))</f>
        <v/>
      </c>
      <c r="F10" s="8" t="inlineStr">
        <is>
          <t>put ShipDate in a slicer and read the range</t>
        </is>
      </c>
      <c r="G10" s="8" t="inlineStr">
        <is>
          <t>Change Type used instead of Using Locale</t>
        </is>
      </c>
    </row>
    <row r="11" ht="30" customHeight="1">
      <c r="A11" s="19" t="n">
        <v>5</v>
      </c>
      <c r="B11" s="16" t="inlineStr">
        <is>
          <t>Rows in FactShipment</t>
        </is>
      </c>
      <c r="C11" s="35" t="n">
        <v>34</v>
      </c>
      <c r="D11" s="40" t="n">
        <v>34</v>
      </c>
      <c r="E11" s="19">
        <f>IF(C11="","",IF(C11=D11,"✔ pass","✘ fix"))</f>
        <v/>
      </c>
      <c r="F11" s="8" t="inlineStr">
        <is>
          <t>a card visual with COUNTROWS</t>
        </is>
      </c>
      <c r="G11" s="8" t="inlineStr">
        <is>
          <t>the blank row, the TOTAL row or the duplicate survived</t>
        </is>
      </c>
    </row>
    <row r="12" ht="30" customHeight="1">
      <c r="A12" s="19" t="n">
        <v>6</v>
      </c>
      <c r="B12" s="16" t="inlineStr">
        <is>
          <t>Rows that took a -1 key</t>
        </is>
      </c>
      <c r="C12" s="35" t="n">
        <v>0</v>
      </c>
      <c r="D12" s="40" t="n">
        <v>0</v>
      </c>
      <c r="E12" s="19">
        <f>IF(C12="","",IF(C12=D12,"✔ pass","✘ fix"))</f>
        <v/>
      </c>
      <c r="F12" s="8" t="inlineStr">
        <is>
          <t>slice by each key and count the Unknown member</t>
        </is>
      </c>
      <c r="G12" s="8" t="inlineStr">
        <is>
          <t>an inner join, or the null -&gt; -1 replace missing</t>
        </is>
      </c>
    </row>
    <row r="13" ht="30" customHeight="1">
      <c r="A13" s="19" t="n">
        <v>7</v>
      </c>
      <c r="B13" s="16" t="inlineStr">
        <is>
          <t>SUM(WeightKG)</t>
        </is>
      </c>
      <c r="C13" s="35" t="n">
        <v>578650</v>
      </c>
      <c r="D13" s="40" t="n">
        <v>578650</v>
      </c>
      <c r="E13" s="19">
        <f>IF(C13="","",IF(C13=D13,"✔ pass","✘ fix"))</f>
        <v/>
      </c>
      <c r="F13" s="8" t="inlineStr">
        <is>
          <t>one card visual, no filters</t>
        </is>
      </c>
      <c r="G13" s="8" t="inlineStr">
        <is>
          <t>work checks 2 and 5 first — they cause this one</t>
        </is>
      </c>
    </row>
    <row r="14" ht="30" customHeight="1">
      <c r="A14" s="19" t="n">
        <v>8</v>
      </c>
      <c r="B14" s="16" t="inlineStr">
        <is>
          <t>SUM(FreightCostPKR)</t>
        </is>
      </c>
      <c r="C14" s="35" t="n">
        <v>4808000</v>
      </c>
      <c r="D14" s="40" t="n">
        <v>4808000</v>
      </c>
      <c r="E14" s="19">
        <f>IF(C14="","",IF(C14=D14,"✔ pass","✘ fix"))</f>
        <v/>
      </c>
      <c r="F14" s="8" t="inlineStr">
        <is>
          <t>one card visual, no filters</t>
        </is>
      </c>
      <c r="G14" s="8" t="inlineStr">
        <is>
          <t>same causes as 7, in the same order</t>
        </is>
      </c>
    </row>
    <row r="15"/>
    <row r="16">
      <c r="B16" s="36" t="inlineStr">
        <is>
          <t>CHECKS PASSING</t>
        </is>
      </c>
      <c r="C16" s="6">
        <f>COUNTIF(E7:E14,"✔ pass")</f>
        <v/>
      </c>
      <c r="D16" s="6" t="inlineStr">
        <is>
          <t>of 8</t>
        </is>
      </c>
      <c r="E16" s="19">
        <f>IF(COUNTA(C7:C14)=0,"",IF(COUNTIF(E7:E14,"✔ pass")=8,"✔ pass","✘ fix"))</f>
        <v/>
      </c>
      <c r="F16" s="41" t="inlineStr">
        <is>
          <t>Eight of eight, or the task scores zero.</t>
        </is>
      </c>
      <c r="G16" s="14" t="n"/>
    </row>
    <row r="17"/>
    <row r="18" ht="22" customHeight="1">
      <c r="A18" s="3" t="inlineStr">
        <is>
          <t>Check 6 is the character question — slide 43</t>
        </is>
      </c>
    </row>
    <row r="19" ht="40" customHeight="1">
      <c r="A19" s="18" t="inlineStr">
        <is>
          <t>Check 6 expects 0 on tonight's files, and that is the trap. Zero is the right answer here only because the alias map already covers all 23 spellings these three files contain. It is not a law of nature, and “0” typed without looking is the same answer as “0” typed after looking. Say how you know.</t>
        </is>
      </c>
    </row>
    <row r="20">
      <c r="B20" s="32" t="inlineStr">
        <is>
          <t>How do you know your −1 count is 0 rather than assuming it? And what does the same pipeline report on the night-two file?</t>
        </is>
      </c>
      <c r="C20" s="25" t="n"/>
      <c r="D20" s="42" t="n"/>
      <c r="E20" s="42" t="n"/>
      <c r="F20" s="42" t="n"/>
      <c r="G20" s="14" t="n"/>
    </row>
    <row r="21" ht="28" customHeight="1">
      <c r="B21" s="33" t="inlineStr">
        <is>
          <t>The -1 count is 0 because it was counted, not assumed: both city columns were left-joined to the alias map and the nulls were counted BEFORE the fillna(-1) — 0 nulls on night 1. That is possible only because the alias map covers all 23 spellings these three files contain: alias_lookup.csv has 23 rows over 14 distinct keys, and every OriginRaw and DestRaw value in the loaded 34 rows appears in it (checked value by value, including 'Port Qasim' → Karachi and 'Pipri Marshalling Yard' → Karachi). On night 2 the same count reports 1: RD-513's origin 'Chaman Border' resolves to no alias, so its row is kept with CityKey -1 and counted — which is exactly why check 6 is a count, not a hope, and why routing to Unknown is not forgiveness but a logged, visible decision.</t>
        </is>
      </c>
      <c r="C21" s="43" t="n"/>
      <c r="D21" s="43" t="n"/>
      <c r="E21" s="43" t="n"/>
      <c r="F21" s="43" t="n"/>
      <c r="G21" s="44" t="n"/>
    </row>
    <row r="22">
      <c r="B22" s="45" t="n"/>
      <c r="G22" s="46" t="n"/>
    </row>
    <row r="23">
      <c r="B23" s="45" t="n"/>
      <c r="G23" s="46" t="n"/>
    </row>
    <row r="24">
      <c r="B24" s="45" t="n"/>
      <c r="G24" s="46" t="n"/>
    </row>
    <row r="25">
      <c r="B25" s="47" t="n"/>
      <c r="C25" s="48" t="n"/>
      <c r="D25" s="48" t="n"/>
      <c r="E25" s="48" t="n"/>
      <c r="F25" s="48" t="n"/>
      <c r="G25" s="49" t="n"/>
    </row>
    <row r="26"/>
    <row r="27" ht="22" customHeight="1">
      <c r="A27" s="3" t="inlineStr">
        <is>
          <t>Part B · The refresh test — the whole point of the week</t>
        </is>
      </c>
    </row>
    <row r="28" ht="58" customHeight="1">
      <c r="A28" s="4" t="inlineStr">
        <is>
          <t>Point your three queries at data/source/night2 and press Refresh. Nothing should need fixing. That folder holds the same marine and rail files and a road file you have never seen: it has an extra consignment, a second copy of RD-508 that differs from the first by one trailing space, a status typed as '  DELAYED  ', and a shipment from a city no alias resolves. Fill in what your refreshed model reports.</t>
        </is>
      </c>
    </row>
    <row r="29" ht="32" customHeight="1">
      <c r="A29" s="5" t="inlineStr">
        <is>
          <t>#</t>
        </is>
      </c>
      <c r="B29" s="5" t="inlineStr">
        <is>
          <t>After refreshing against night2</t>
        </is>
      </c>
      <c r="C29" s="5" t="inlineStr">
        <is>
          <t>Your model reads</t>
        </is>
      </c>
      <c r="D29" s="5" t="inlineStr">
        <is>
          <t>Expected</t>
        </is>
      </c>
      <c r="E29" s="5" t="inlineStr">
        <is>
          <t>Pass?</t>
        </is>
      </c>
      <c r="F29" s="5" t="inlineStr">
        <is>
          <t>What it is testing</t>
        </is>
      </c>
      <c r="G29" s="5" t="inlineStr"/>
    </row>
    <row r="30" ht="26" customHeight="1">
      <c r="A30" s="19" t="n">
        <v>1</v>
      </c>
      <c r="B30" s="16" t="inlineStr">
        <is>
          <t>Rows in FactShipment</t>
        </is>
      </c>
      <c r="C30" s="35" t="n">
        <v>35</v>
      </c>
      <c r="D30" s="40" t="n">
        <v>35</v>
      </c>
      <c r="E30" s="19">
        <f>IF(C30="","",IF(C30=D30,"✔ pass","✘ fix"))</f>
        <v/>
      </c>
      <c r="F30" s="8" t="inlineStr">
        <is>
          <t>the dedup rule survived a duplicate that is not byte-identical</t>
        </is>
      </c>
      <c r="G30" s="14" t="n"/>
    </row>
    <row r="31" ht="26" customHeight="1">
      <c r="A31" s="19" t="n">
        <v>2</v>
      </c>
      <c r="B31" s="16" t="inlineStr">
        <is>
          <t>SUM(WeightKG)</t>
        </is>
      </c>
      <c r="C31" s="35" t="n">
        <v>584950</v>
      </c>
      <c r="D31" s="40" t="n">
        <v>584950</v>
      </c>
      <c r="E31" s="19">
        <f>IF(C31="","",IF(C31=D31,"✔ pass","✘ fix"))</f>
        <v/>
      </c>
      <c r="F31" s="8" t="inlineStr">
        <is>
          <t>every per-source step replayed on a file it had never seen</t>
        </is>
      </c>
      <c r="G31" s="14" t="n"/>
    </row>
    <row r="32" ht="26" customHeight="1">
      <c r="A32" s="19" t="n">
        <v>3</v>
      </c>
      <c r="B32" s="16" t="inlineStr">
        <is>
          <t>SUM(FreightCostPKR)</t>
        </is>
      </c>
      <c r="C32" s="35" t="n">
        <v>4860000</v>
      </c>
      <c r="D32" s="40" t="n">
        <v>4860000</v>
      </c>
      <c r="E32" s="19">
        <f>IF(C32="","",IF(C32=D32,"✔ pass","✘ fix"))</f>
        <v/>
      </c>
      <c r="F32" s="8" t="inlineStr">
        <is>
          <t>the same, for the second fact</t>
        </is>
      </c>
      <c r="G32" s="14" t="n"/>
    </row>
    <row r="33" ht="26" customHeight="1">
      <c r="A33" s="19" t="n">
        <v>4</v>
      </c>
      <c r="B33" s="16" t="inlineStr">
        <is>
          <t>Distinct values in StatusRaw</t>
        </is>
      </c>
      <c r="C33" s="35" t="n">
        <v>3</v>
      </c>
      <c r="D33" s="40" t="n">
        <v>3</v>
      </c>
      <c r="E33" s="19">
        <f>IF(C33="","",IF(C33=D33,"✔ pass","✘ fix"))</f>
        <v/>
      </c>
      <c r="F33" s="8" t="inlineStr">
        <is>
          <t>'  DELAYED  ' was trimmed and cased without you touching a step</t>
        </is>
      </c>
      <c r="G33" s="14" t="n"/>
    </row>
    <row r="34" ht="26" customHeight="1">
      <c r="A34" s="19" t="n">
        <v>5</v>
      </c>
      <c r="B34" s="16" t="inlineStr">
        <is>
          <t>Rows carrying a −1 city key</t>
        </is>
      </c>
      <c r="C34" s="35" t="n">
        <v>1</v>
      </c>
      <c r="D34" s="40" t="n">
        <v>1</v>
      </c>
      <c r="E34" s="19">
        <f>IF(C34="","",IF(C34=D34,"✔ pass","✘ fix"))</f>
        <v/>
      </c>
      <c r="F34" s="8" t="inlineStr">
        <is>
          <t>the left outer join kept the row instead of dropping it</t>
        </is>
      </c>
      <c r="G34" s="14" t="n"/>
    </row>
    <row r="35" ht="26" customHeight="1">
      <c r="A35" s="19" t="n">
        <v>6</v>
      </c>
      <c r="B35" s="16" t="inlineStr">
        <is>
          <t>Rows with status Delayed</t>
        </is>
      </c>
      <c r="C35" s="35" t="n">
        <v>5</v>
      </c>
      <c r="D35" s="40" t="n">
        <v>5</v>
      </c>
      <c r="E35" s="19">
        <f>IF(C35="","",IF(C35=D35,"✔ pass","✘ fix"))</f>
        <v/>
      </c>
      <c r="F35" s="8" t="inlineStr">
        <is>
          <t>four last night, five tonight — the breakdown moved, correctly</t>
        </is>
      </c>
      <c r="G35" s="14" t="n"/>
    </row>
    <row r="36">
      <c r="B36" s="36" t="inlineStr">
        <is>
          <t>REFRESH CHECKS PASSING</t>
        </is>
      </c>
      <c r="C36" s="6">
        <f>COUNTIF(E30:E35,"✔ pass")</f>
        <v/>
      </c>
      <c r="D36" s="6" t="inlineStr">
        <is>
          <t>of 6</t>
        </is>
      </c>
      <c r="E36" s="19">
        <f>IF(COUNTA(C30:C35)=0,"",IF(COUNTIF(E30:E35,"✔ pass")=6,"✔ pass","✘ fix"))</f>
        <v/>
      </c>
    </row>
    <row r="37" ht="34" customHeight="1">
      <c r="A37" s="18" t="inlineStr">
        <is>
          <t>If you get 36 rows and 591,550 kg, you deduplicated before you trimmed and the second RD-508 survived on a trailing space. That is the constraint from T3, arriving as a number. Nothing on tonight's file would ever have told you.</t>
        </is>
      </c>
    </row>
  </sheetData>
  <mergeCells count="17">
    <mergeCell ref="A1:G1"/>
    <mergeCell ref="C20:G20"/>
    <mergeCell ref="A18:G18"/>
    <mergeCell ref="A27:G27"/>
    <mergeCell ref="F16:G16"/>
    <mergeCell ref="F30:G30"/>
    <mergeCell ref="F34:G34"/>
    <mergeCell ref="A4:G4"/>
    <mergeCell ref="F33:G33"/>
    <mergeCell ref="F31:G31"/>
    <mergeCell ref="A2:G2"/>
    <mergeCell ref="B21:G25"/>
    <mergeCell ref="F32:G32"/>
    <mergeCell ref="A19:G19"/>
    <mergeCell ref="F35:G35"/>
    <mergeCell ref="A28:G28"/>
    <mergeCell ref="A37:G3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2026-10-23T21:32:00Z</dcterms:created>
  <dcterms:modified xmlns:dcterms="http://purl.org/dc/terms/" xmlns:xsi="http://www.w3.org/2001/XMLSchema-instance" xsi:type="dcterms:W3CDTF">2026-10-26T16:12:37+00:00Z</dcterms:modified>
</cp:coreProperties>
</file>